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TAGE\Documents\"/>
    </mc:Choice>
  </mc:AlternateContent>
  <xr:revisionPtr revIDLastSave="0" documentId="8_{104AA084-EF4B-4590-9494-C2D3B6D571CA}" xr6:coauthVersionLast="47" xr6:coauthVersionMax="47" xr10:uidLastSave="{00000000-0000-0000-0000-000000000000}"/>
  <bookViews>
    <workbookView xWindow="-108" yWindow="-108" windowWidth="23256" windowHeight="12456" xr2:uid="{E62696C5-1BAC-44C5-99AC-3711DFF68A52}"/>
  </bookViews>
  <sheets>
    <sheet name="Deadline Risk Predic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9" i="1" s="1"/>
  <c r="G9" i="1" s="1"/>
  <c r="B2" i="1"/>
  <c r="E131" i="1"/>
  <c r="F131" i="1" s="1"/>
  <c r="G131" i="1" s="1"/>
  <c r="E130" i="1"/>
  <c r="F130" i="1" s="1"/>
  <c r="G130" i="1" s="1"/>
  <c r="E129" i="1"/>
  <c r="F129" i="1" s="1"/>
  <c r="G129" i="1" s="1"/>
  <c r="E128" i="1"/>
  <c r="F128" i="1" s="1"/>
  <c r="G128" i="1" s="1"/>
  <c r="E127" i="1"/>
  <c r="F127" i="1" s="1"/>
  <c r="G127" i="1" s="1"/>
  <c r="E126" i="1"/>
  <c r="F126" i="1" s="1"/>
  <c r="G126" i="1" s="1"/>
  <c r="E125" i="1"/>
  <c r="F125" i="1" s="1"/>
  <c r="G125" i="1" s="1"/>
  <c r="E124" i="1"/>
  <c r="F124" i="1" s="1"/>
  <c r="G124" i="1" s="1"/>
  <c r="E123" i="1"/>
  <c r="F123" i="1" s="1"/>
  <c r="G123" i="1" s="1"/>
  <c r="E122" i="1"/>
  <c r="F122" i="1" s="1"/>
  <c r="G122" i="1" s="1"/>
  <c r="E121" i="1"/>
  <c r="F121" i="1" s="1"/>
  <c r="G121" i="1" s="1"/>
  <c r="E120" i="1"/>
  <c r="F120" i="1" s="1"/>
  <c r="G120" i="1" s="1"/>
  <c r="E119" i="1"/>
  <c r="F119" i="1" s="1"/>
  <c r="G119" i="1" s="1"/>
  <c r="E118" i="1"/>
  <c r="F118" i="1" s="1"/>
  <c r="G118" i="1" s="1"/>
  <c r="E117" i="1"/>
  <c r="F117" i="1" s="1"/>
  <c r="G117" i="1" s="1"/>
  <c r="E116" i="1"/>
  <c r="F116" i="1" s="1"/>
  <c r="G116" i="1" s="1"/>
  <c r="E115" i="1"/>
  <c r="F115" i="1" s="1"/>
  <c r="G115" i="1" s="1"/>
  <c r="E114" i="1"/>
  <c r="F114" i="1" s="1"/>
  <c r="G114" i="1" s="1"/>
  <c r="E113" i="1"/>
  <c r="F113" i="1" s="1"/>
  <c r="G113" i="1" s="1"/>
  <c r="E112" i="1"/>
  <c r="F112" i="1" s="1"/>
  <c r="G112" i="1" s="1"/>
  <c r="E111" i="1"/>
  <c r="F111" i="1" s="1"/>
  <c r="G111" i="1" s="1"/>
  <c r="E110" i="1"/>
  <c r="F110" i="1" s="1"/>
  <c r="G110" i="1" s="1"/>
  <c r="E109" i="1"/>
  <c r="F109" i="1" s="1"/>
  <c r="G109" i="1" s="1"/>
  <c r="E108" i="1"/>
  <c r="F108" i="1" s="1"/>
  <c r="G108" i="1" s="1"/>
  <c r="E107" i="1"/>
  <c r="F107" i="1" s="1"/>
  <c r="G107" i="1" s="1"/>
  <c r="E106" i="1"/>
  <c r="F106" i="1" s="1"/>
  <c r="G106" i="1" s="1"/>
  <c r="E105" i="1"/>
  <c r="F105" i="1" s="1"/>
  <c r="G105" i="1" s="1"/>
  <c r="E104" i="1"/>
  <c r="F104" i="1" s="1"/>
  <c r="G104" i="1" s="1"/>
  <c r="E103" i="1"/>
  <c r="F103" i="1" s="1"/>
  <c r="G103" i="1" s="1"/>
  <c r="E102" i="1"/>
  <c r="F102" i="1" s="1"/>
  <c r="G102" i="1" s="1"/>
  <c r="E101" i="1"/>
  <c r="F101" i="1" s="1"/>
  <c r="G101" i="1" s="1"/>
  <c r="E100" i="1"/>
  <c r="F100" i="1" s="1"/>
  <c r="G100" i="1" s="1"/>
  <c r="E99" i="1"/>
  <c r="F99" i="1" s="1"/>
  <c r="G99" i="1" s="1"/>
  <c r="E98" i="1"/>
  <c r="F98" i="1" s="1"/>
  <c r="G98" i="1" s="1"/>
  <c r="E97" i="1"/>
  <c r="F97" i="1" s="1"/>
  <c r="G97" i="1" s="1"/>
  <c r="E96" i="1"/>
  <c r="F96" i="1" s="1"/>
  <c r="G96" i="1" s="1"/>
  <c r="E95" i="1"/>
  <c r="F95" i="1" s="1"/>
  <c r="G95" i="1" s="1"/>
  <c r="E94" i="1"/>
  <c r="F94" i="1" s="1"/>
  <c r="G94" i="1" s="1"/>
  <c r="E93" i="1"/>
  <c r="F93" i="1" s="1"/>
  <c r="G93" i="1" s="1"/>
  <c r="E92" i="1"/>
  <c r="F92" i="1" s="1"/>
  <c r="G92" i="1" s="1"/>
  <c r="E91" i="1"/>
  <c r="F91" i="1" s="1"/>
  <c r="G91" i="1" s="1"/>
  <c r="E90" i="1"/>
  <c r="F90" i="1" s="1"/>
  <c r="G90" i="1" s="1"/>
  <c r="E89" i="1"/>
  <c r="F89" i="1" s="1"/>
  <c r="G89" i="1" s="1"/>
  <c r="E88" i="1"/>
  <c r="F88" i="1" s="1"/>
  <c r="G88" i="1" s="1"/>
  <c r="E87" i="1"/>
  <c r="F87" i="1" s="1"/>
  <c r="G87" i="1" s="1"/>
  <c r="E86" i="1"/>
  <c r="F86" i="1" s="1"/>
  <c r="G86" i="1" s="1"/>
  <c r="E85" i="1"/>
  <c r="F85" i="1" s="1"/>
  <c r="G85" i="1" s="1"/>
  <c r="E84" i="1"/>
  <c r="F84" i="1" s="1"/>
  <c r="G84" i="1" s="1"/>
  <c r="E83" i="1"/>
  <c r="F83" i="1" s="1"/>
  <c r="G83" i="1" s="1"/>
  <c r="E82" i="1"/>
  <c r="F82" i="1" s="1"/>
  <c r="G82" i="1" s="1"/>
  <c r="E81" i="1"/>
  <c r="F81" i="1" s="1"/>
  <c r="G81" i="1" s="1"/>
  <c r="E80" i="1"/>
  <c r="F80" i="1" s="1"/>
  <c r="G80" i="1" s="1"/>
  <c r="E79" i="1"/>
  <c r="F79" i="1" s="1"/>
  <c r="G79" i="1" s="1"/>
  <c r="E78" i="1"/>
  <c r="F78" i="1" s="1"/>
  <c r="G78" i="1" s="1"/>
  <c r="E77" i="1"/>
  <c r="F77" i="1" s="1"/>
  <c r="G77" i="1" s="1"/>
  <c r="E76" i="1"/>
  <c r="F76" i="1" s="1"/>
  <c r="G76" i="1" s="1"/>
  <c r="E75" i="1"/>
  <c r="F75" i="1" s="1"/>
  <c r="G75" i="1" s="1"/>
  <c r="E74" i="1"/>
  <c r="F74" i="1" s="1"/>
  <c r="G74" i="1" s="1"/>
  <c r="E73" i="1"/>
  <c r="F73" i="1" s="1"/>
  <c r="G73" i="1" s="1"/>
  <c r="E72" i="1"/>
  <c r="F72" i="1" s="1"/>
  <c r="G72" i="1" s="1"/>
  <c r="E71" i="1"/>
  <c r="F71" i="1" s="1"/>
  <c r="G71" i="1" s="1"/>
  <c r="E70" i="1"/>
  <c r="F70" i="1" s="1"/>
  <c r="G70" i="1" s="1"/>
  <c r="E69" i="1"/>
  <c r="F69" i="1" s="1"/>
  <c r="G69" i="1" s="1"/>
  <c r="E68" i="1"/>
  <c r="F68" i="1" s="1"/>
  <c r="G68" i="1" s="1"/>
  <c r="E67" i="1"/>
  <c r="F67" i="1" s="1"/>
  <c r="G67" i="1" s="1"/>
  <c r="E66" i="1"/>
  <c r="F66" i="1" s="1"/>
  <c r="G66" i="1" s="1"/>
  <c r="E65" i="1"/>
  <c r="F65" i="1" s="1"/>
  <c r="G65" i="1" s="1"/>
  <c r="E64" i="1"/>
  <c r="F64" i="1" s="1"/>
  <c r="G64" i="1" s="1"/>
  <c r="E63" i="1"/>
  <c r="F63" i="1" s="1"/>
  <c r="G63" i="1" s="1"/>
  <c r="E62" i="1"/>
  <c r="F62" i="1" s="1"/>
  <c r="G62" i="1" s="1"/>
  <c r="E61" i="1"/>
  <c r="F61" i="1" s="1"/>
  <c r="G61" i="1" s="1"/>
  <c r="E60" i="1"/>
  <c r="F60" i="1" s="1"/>
  <c r="G60" i="1" s="1"/>
  <c r="E59" i="1"/>
  <c r="F59" i="1" s="1"/>
  <c r="G59" i="1" s="1"/>
  <c r="E58" i="1"/>
  <c r="F58" i="1" s="1"/>
  <c r="G58" i="1" s="1"/>
  <c r="E57" i="1"/>
  <c r="F57" i="1" s="1"/>
  <c r="G57" i="1" s="1"/>
  <c r="E56" i="1"/>
  <c r="F56" i="1" s="1"/>
  <c r="G56" i="1" s="1"/>
  <c r="E55" i="1"/>
  <c r="F55" i="1" s="1"/>
  <c r="G55" i="1" s="1"/>
  <c r="E54" i="1"/>
  <c r="F54" i="1" s="1"/>
  <c r="G54" i="1" s="1"/>
  <c r="E53" i="1"/>
  <c r="F53" i="1" s="1"/>
  <c r="G53" i="1" s="1"/>
  <c r="E52" i="1"/>
  <c r="F52" i="1" s="1"/>
  <c r="G52" i="1" s="1"/>
  <c r="E51" i="1"/>
  <c r="F51" i="1" s="1"/>
  <c r="G51" i="1" s="1"/>
  <c r="E50" i="1"/>
  <c r="F50" i="1" s="1"/>
  <c r="G50" i="1" s="1"/>
  <c r="E49" i="1"/>
  <c r="F49" i="1" s="1"/>
  <c r="G49" i="1" s="1"/>
  <c r="E48" i="1"/>
  <c r="F48" i="1" s="1"/>
  <c r="G48" i="1" s="1"/>
  <c r="E47" i="1"/>
  <c r="F47" i="1" s="1"/>
  <c r="G47" i="1" s="1"/>
  <c r="E46" i="1"/>
  <c r="F46" i="1" s="1"/>
  <c r="G46" i="1" s="1"/>
  <c r="E45" i="1"/>
  <c r="F45" i="1" s="1"/>
  <c r="G45" i="1" s="1"/>
  <c r="E44" i="1"/>
  <c r="F44" i="1" s="1"/>
  <c r="G44" i="1" s="1"/>
  <c r="E43" i="1"/>
  <c r="F43" i="1" s="1"/>
  <c r="G43" i="1" s="1"/>
  <c r="E42" i="1"/>
  <c r="F42" i="1" s="1"/>
  <c r="G42" i="1" s="1"/>
  <c r="E41" i="1"/>
  <c r="F41" i="1" s="1"/>
  <c r="G41" i="1" s="1"/>
  <c r="E40" i="1"/>
  <c r="F40" i="1" s="1"/>
  <c r="G40" i="1" s="1"/>
  <c r="E39" i="1"/>
  <c r="F39" i="1" s="1"/>
  <c r="G39" i="1" s="1"/>
  <c r="E38" i="1"/>
  <c r="F38" i="1" s="1"/>
  <c r="G38" i="1" s="1"/>
  <c r="E37" i="1"/>
  <c r="F37" i="1" s="1"/>
  <c r="G37" i="1" s="1"/>
  <c r="E36" i="1"/>
  <c r="F36" i="1" s="1"/>
  <c r="G36" i="1" s="1"/>
  <c r="E35" i="1"/>
  <c r="F35" i="1" s="1"/>
  <c r="G35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E26" i="1"/>
  <c r="F26" i="1" s="1"/>
  <c r="G26" i="1" s="1"/>
  <c r="E25" i="1"/>
  <c r="F25" i="1" s="1"/>
  <c r="G25" i="1" s="1"/>
  <c r="E24" i="1"/>
  <c r="F24" i="1" s="1"/>
  <c r="G24" i="1" s="1"/>
  <c r="E23" i="1"/>
  <c r="F23" i="1" s="1"/>
  <c r="G23" i="1" s="1"/>
  <c r="E22" i="1"/>
  <c r="F22" i="1" s="1"/>
  <c r="G22" i="1" s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E15" i="1"/>
  <c r="F15" i="1" s="1"/>
  <c r="G15" i="1" s="1"/>
  <c r="E14" i="1"/>
  <c r="F14" i="1" s="1"/>
  <c r="G14" i="1" s="1"/>
  <c r="E13" i="1"/>
  <c r="F13" i="1" s="1"/>
  <c r="G13" i="1" s="1"/>
  <c r="E12" i="1"/>
  <c r="F12" i="1" s="1"/>
  <c r="G12" i="1" s="1"/>
  <c r="E11" i="1"/>
  <c r="F11" i="1" s="1"/>
  <c r="G11" i="1" s="1"/>
  <c r="E10" i="1"/>
  <c r="F10" i="1" s="1"/>
  <c r="G10" i="1" s="1"/>
  <c r="E8" i="1"/>
  <c r="F8" i="1" s="1"/>
  <c r="G8" i="1" s="1"/>
  <c r="B4" i="1" l="1"/>
  <c r="B5" i="1"/>
  <c r="B3" i="1"/>
</calcChain>
</file>

<file path=xl/sharedStrings.xml><?xml version="1.0" encoding="utf-8"?>
<sst xmlns="http://schemas.openxmlformats.org/spreadsheetml/2006/main" count="143" uniqueCount="143">
  <si>
    <t>Task Name</t>
  </si>
  <si>
    <t>Tasks Completed</t>
  </si>
  <si>
    <t>Total Tasks</t>
  </si>
  <si>
    <t>Days Left</t>
  </si>
  <si>
    <t>% Work Remaining</t>
  </si>
  <si>
    <t>Risk of Missing Deadline (%)</t>
  </si>
  <si>
    <t>Risk Level</t>
  </si>
  <si>
    <t>Core Engine Migration</t>
  </si>
  <si>
    <t>API Gateway Overhaul</t>
  </si>
  <si>
    <t>Auth0 Integration</t>
  </si>
  <si>
    <t>Android App v2.0</t>
  </si>
  <si>
    <t>iOS Push Notifications</t>
  </si>
  <si>
    <t>Legacy DB Refactoring</t>
  </si>
  <si>
    <t>Stripe Checkout Flow</t>
  </si>
  <si>
    <t>Cloud Backup Automation</t>
  </si>
  <si>
    <t>UI Design System Update</t>
  </si>
  <si>
    <t>CI/CD Pipeline Setup</t>
  </si>
  <si>
    <t>Microservices Split</t>
  </si>
  <si>
    <t>Admin Analytics Panel</t>
  </si>
  <si>
    <t>Q3 Brand Refresh</t>
  </si>
  <si>
    <t>SEO Blog Campaign</t>
  </si>
  <si>
    <t>Black Friday Email Flow</t>
  </si>
  <si>
    <t>Influencer Outreach v1</t>
  </si>
  <si>
    <t>PPC Landing Page Build</t>
  </si>
  <si>
    <t>Product Hunt Launch</t>
  </si>
  <si>
    <t>Customer Survey Design</t>
  </si>
  <si>
    <t>Podcast Season 2 Promo</t>
  </si>
  <si>
    <t>Video Ad Production</t>
  </si>
  <si>
    <t>Affiliate Portal Launch</t>
  </si>
  <si>
    <t>Newsletter Re-engagement</t>
  </si>
  <si>
    <t>Ebook Lead Magnet</t>
  </si>
  <si>
    <t>New Employee Handbooks</t>
  </si>
  <si>
    <t>ATS Platform Evaluation</t>
  </si>
  <si>
    <t>Q2 Financial Audit</t>
  </si>
  <si>
    <t>Office Relocation Plan</t>
  </si>
  <si>
    <t>Payroll Vendor Switch</t>
  </si>
  <si>
    <t>Remote Work Policy Update</t>
  </si>
  <si>
    <t>Annual Tax Filing</t>
  </si>
  <si>
    <t>KPI Dashboard Build</t>
  </si>
  <si>
    <t>Inventory Audit 2026</t>
  </si>
  <si>
    <t>CRM Data Cleansing</t>
  </si>
  <si>
    <t>Travel Expense Policy</t>
  </si>
  <si>
    <t>Manager Training Program</t>
  </si>
  <si>
    <t>Mobile Onboarding UX</t>
  </si>
  <si>
    <t>Figma Component Audit</t>
  </si>
  <si>
    <t>User Persona Research</t>
  </si>
  <si>
    <t>Dark Mode UI Theme</t>
  </si>
  <si>
    <t>Interactive Wireframes</t>
  </si>
  <si>
    <t>Competitor Analysis Repo</t>
  </si>
  <si>
    <t>Checkout Cart Redesign</t>
  </si>
  <si>
    <t>Beta Feedback Review</t>
  </si>
  <si>
    <t>Accessibility (WCAG) Audit</t>
  </si>
  <si>
    <t>Landing Page Wireframes</t>
  </si>
  <si>
    <t>Feature Prioritization Matrix</t>
  </si>
  <si>
    <t>Design System Audit</t>
  </si>
  <si>
    <t>SSO Authentication Rollout</t>
  </si>
  <si>
    <t>Server Patch Deployment</t>
  </si>
  <si>
    <t>Firewall Rule Audit</t>
  </si>
  <si>
    <t>MDM Device Enrollment</t>
  </si>
  <si>
    <t>Phishing Simulation Q1</t>
  </si>
  <si>
    <t>VPN Hardware Upgrade</t>
  </si>
  <si>
    <t>SOC2 Compliance Check</t>
  </si>
  <si>
    <t>AWS IAM Permission Trim</t>
  </si>
  <si>
    <t>Data Encryption at Rest</t>
  </si>
  <si>
    <t>SaaS Tool Access Review</t>
  </si>
  <si>
    <t>Disaster Recovery Test</t>
  </si>
  <si>
    <t>SSL Certificate Renewal</t>
  </si>
  <si>
    <t>E-Commerce Payment Gateway</t>
  </si>
  <si>
    <t>Total Projects Tracked:</t>
  </si>
  <si>
    <t>High Risk Projects:</t>
  </si>
  <si>
    <t>Churn Prediction Model</t>
  </si>
  <si>
    <t>Customer Segmentation Clustering</t>
  </si>
  <si>
    <t>Lead Scoring Algorithm</t>
  </si>
  <si>
    <t>Sentiment Analysis Pipeline</t>
  </si>
  <si>
    <t>Fraud Detection Model v1</t>
  </si>
  <si>
    <t>Sales Forecasting Dashboard</t>
  </si>
  <si>
    <t>NLP Chatbot Intent Engine</t>
  </si>
  <si>
    <t>Image Classification Baseline</t>
  </si>
  <si>
    <t>Recommendation Engine Tuning</t>
  </si>
  <si>
    <t>Vector Database Setup</t>
  </si>
  <si>
    <t>Data Pipeline Orchestration</t>
  </si>
  <si>
    <t>A/B Testing Framework Build</t>
  </si>
  <si>
    <t>Model Drift Monitoring</t>
  </si>
  <si>
    <t>Kubernetes Cluster Autoscaling</t>
  </si>
  <si>
    <t>Terraform Modules Refactor</t>
  </si>
  <si>
    <t>Multi-Region Failover Test</t>
  </si>
  <si>
    <t>Docker Image Size Trimming</t>
  </si>
  <si>
    <t>Kafka Message Broker Setup</t>
  </si>
  <si>
    <t>Log Aggregation (ELK Stack)</t>
  </si>
  <si>
    <t>CDN Edge Caching Rule Build</t>
  </si>
  <si>
    <t>AWS Cost Optimization Audit</t>
  </si>
  <si>
    <t>Database Read Replica Setup</t>
  </si>
  <si>
    <t>Secrets Manager Integration</t>
  </si>
  <si>
    <t>Nginx Load Balancer Tuning</t>
  </si>
  <si>
    <t>Serverless Function Refactor</t>
  </si>
  <si>
    <t>Invoice Ledger Automation</t>
  </si>
  <si>
    <t>Multi-Currency Support Audit</t>
  </si>
  <si>
    <t>Payment Gateway Reconciliation</t>
  </si>
  <si>
    <t>Q4 Revenue Projections</t>
  </si>
  <si>
    <t>Tax Compliance Automation</t>
  </si>
  <si>
    <t>Subscription Churn Reporting</t>
  </si>
  <si>
    <t>Budget Allocation Tool v2</t>
  </si>
  <si>
    <t>Internal Expense Auditing</t>
  </si>
  <si>
    <t>Vendor Contract Renewals</t>
  </si>
  <si>
    <t>Equity Management System</t>
  </si>
  <si>
    <t>Risk Assessment Modeling</t>
  </si>
  <si>
    <t>Banking API Sandbox Sandbox</t>
  </si>
  <si>
    <t>Zendesk Macro Clean-up</t>
  </si>
  <si>
    <t>IVR Phone Tree Optimization</t>
  </si>
  <si>
    <t>Help Center Documentation Rewrite</t>
  </si>
  <si>
    <t>SLA Breach Alerting Rule Build</t>
  </si>
  <si>
    <t>Customer Health Score Dashboard</t>
  </si>
  <si>
    <t>Intercom Chatbot Playbook Build</t>
  </si>
  <si>
    <t>Support Ticket Categorization</t>
  </si>
  <si>
    <t>NPS Survey Workflow Setup</t>
  </si>
  <si>
    <t>Customer Offboarding Playbook</t>
  </si>
  <si>
    <t>Community Forum Migration</t>
  </si>
  <si>
    <t>User Training Webinar Deck</t>
  </si>
  <si>
    <t>CRM Contact Enrichment</t>
  </si>
  <si>
    <t>GDPR Data Deletion Workflow</t>
  </si>
  <si>
    <t>CCPA Compliance Audit</t>
  </si>
  <si>
    <t>Penetration Testing Remediations</t>
  </si>
  <si>
    <t>MDM Mobile Device Security</t>
  </si>
  <si>
    <t>Active Directory Clean-up</t>
  </si>
  <si>
    <t>Zero Trust Network Architecture</t>
  </si>
  <si>
    <t>Password Manager Rollout</t>
  </si>
  <si>
    <t>Endpoint Detection Setup</t>
  </si>
  <si>
    <t>SaaS App Vendor Risk Check</t>
  </si>
  <si>
    <t>Data Loss Prevention Audit</t>
  </si>
  <si>
    <t>Incident Response Runbook Build</t>
  </si>
  <si>
    <t>Third-Party API Token Trim</t>
  </si>
  <si>
    <t>SOC2 Type II Readiness</t>
  </si>
  <si>
    <t>Biometric Auth Evaluation</t>
  </si>
  <si>
    <t>Medium Risk Projects:</t>
  </si>
  <si>
    <t>Low Risk Projects:</t>
  </si>
  <si>
    <t>Column1</t>
  </si>
  <si>
    <t>Column2</t>
  </si>
  <si>
    <t>Column3</t>
  </si>
  <si>
    <t>Column4</t>
  </si>
  <si>
    <t>Column5</t>
  </si>
  <si>
    <t>Column6</t>
  </si>
  <si>
    <t>Column7</t>
  </si>
  <si>
    <t>Imminent Deadline Risk Predictor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</si>
</sst>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9" fontId="0" fillId="0" borderId="0" xfId="1" applyFont="1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9" fontId="2" fillId="3" borderId="0" xfId="1" applyFont="1" applyFill="1" applyAlignment="1">
      <alignment horizontal="center"/>
    </xf>
    <xf numFmtId="0" fontId="0" fillId="4" borderId="0" xfId="0" applyFill="1"/>
    <xf numFmtId="9" fontId="0" fillId="4" borderId="0" xfId="1" applyFont="1" applyFill="1"/>
  </cellXfs>
  <cellStyles count="2">
    <cellStyle name="Normal" xfId="0" builtinId="0"/>
    <cellStyle name="Percent" xfId="1" builtinId="5"/>
  </cellStyles>
  <dxfs count="10"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D6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D6D6"/>
        </patternFill>
      </fill>
    </dxf>
  </dxfs>
  <tableStyles count="0" defaultTableStyle="TableStyleMedium2" defaultPivotStyle="PivotStyleLight16"/>
  <colors>
    <mruColors>
      <color rgb="FFE2EFDA"/>
      <color rgb="FF375623"/>
      <color rgb="FFFFF2CC"/>
      <color rgb="FFB25E00"/>
      <color rgb="FFFFD6D6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E46E9B-06FB-454D-ACA4-B34C0F481334}" name="Table8" displayName="Table8" ref="A7:G131" totalsRowShown="0">
  <autoFilter ref="A7:G131" xr:uid="{3BE46E9B-06FB-454D-ACA4-B34C0F481334}"/>
  <tableColumns count="7">
    <tableColumn id="1" xr3:uid="{30CF7C92-2164-4D23-8618-450131DC1038}" name="Column1"/>
    <tableColumn id="2" xr3:uid="{00FB6388-A425-4FEE-AFC2-15C88454A372}" name="Column2"/>
    <tableColumn id="3" xr3:uid="{52FFA585-E538-4A3E-9ABD-7DD626CBE20B}" name="Column3"/>
    <tableColumn id="4" xr3:uid="{D18E9616-3B0A-4B40-8EB7-B21BA28574AE}" name="Column4"/>
    <tableColumn id="5" xr3:uid="{24134597-A2E8-4177-94B7-3B6A4CCF8863}" name="Column5" dataDxfId="1" dataCellStyle="Percent">
      <calculatedColumnFormula>(C8-B8)/C8</calculatedColumnFormula>
    </tableColumn>
    <tableColumn id="6" xr3:uid="{90D918BD-02FE-49E6-9485-0C75EB913477}" name="Column6" dataDxfId="0">
      <calculatedColumnFormula>(E8/D8)*10</calculatedColumnFormula>
    </tableColumn>
    <tableColumn id="7" xr3:uid="{7C46C69D-F4CF-4512-B65A-651C23C55A7C}" name="Column7">
      <calculatedColumnFormula>IF(F8&gt;1,"High Risk",IF(F8&gt;0.5,"Medium Risk","Low Risk"))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CCEE-712B-4E46-85E0-37FBC1EAF1DF}">
  <dimension ref="A1:G131"/>
  <sheetViews>
    <sheetView tabSelected="1" zoomScale="140" zoomScaleNormal="140" workbookViewId="0">
      <pane ySplit="6" topLeftCell="A7" activePane="bottomLeft" state="frozen"/>
      <selection pane="bottomLeft" sqref="A1:G1"/>
    </sheetView>
  </sheetViews>
  <sheetFormatPr defaultRowHeight="14.4" x14ac:dyDescent="0.3"/>
  <cols>
    <col min="1" max="1" width="27.44140625" bestFit="1" customWidth="1"/>
    <col min="2" max="2" width="16.5546875" customWidth="1"/>
    <col min="3" max="3" width="10.5546875" customWidth="1"/>
    <col min="4" max="4" width="9.5546875" customWidth="1"/>
    <col min="5" max="5" width="17.109375" style="2" customWidth="1"/>
    <col min="6" max="6" width="25.77734375" customWidth="1"/>
    <col min="7" max="7" width="13.109375" customWidth="1"/>
  </cols>
  <sheetData>
    <row r="1" spans="1:7" ht="25.8" x14ac:dyDescent="0.5">
      <c r="A1" s="3" t="s">
        <v>142</v>
      </c>
      <c r="B1" s="3"/>
      <c r="C1" s="3"/>
      <c r="D1" s="3"/>
      <c r="E1" s="3"/>
      <c r="F1" s="3"/>
      <c r="G1" s="3"/>
    </row>
    <row r="2" spans="1:7" x14ac:dyDescent="0.3">
      <c r="A2" s="6" t="s">
        <v>68</v>
      </c>
      <c r="B2" s="6">
        <f>COUNTA(A8:A131)</f>
        <v>124</v>
      </c>
      <c r="C2" s="6"/>
      <c r="D2" s="6"/>
      <c r="E2" s="7"/>
      <c r="F2" s="6"/>
      <c r="G2" s="6"/>
    </row>
    <row r="3" spans="1:7" x14ac:dyDescent="0.3">
      <c r="A3" s="6" t="s">
        <v>69</v>
      </c>
      <c r="B3" s="6">
        <f>COUNTIF(G8:G131,"High Risk")</f>
        <v>48</v>
      </c>
      <c r="C3" s="6"/>
      <c r="D3" s="6"/>
      <c r="E3" s="7"/>
      <c r="F3" s="6"/>
      <c r="G3" s="6"/>
    </row>
    <row r="4" spans="1:7" x14ac:dyDescent="0.3">
      <c r="A4" s="6" t="s">
        <v>133</v>
      </c>
      <c r="B4" s="6">
        <f>COUNTIF(G8:G131,"Medium Risk")</f>
        <v>49</v>
      </c>
      <c r="C4" s="6"/>
      <c r="D4" s="6"/>
      <c r="E4" s="7"/>
      <c r="F4" s="6"/>
      <c r="G4" s="6"/>
    </row>
    <row r="5" spans="1:7" x14ac:dyDescent="0.3">
      <c r="A5" s="6" t="s">
        <v>134</v>
      </c>
      <c r="B5" s="6">
        <f>COUNTIF(G8:G131,"Low Risk")</f>
        <v>27</v>
      </c>
      <c r="C5" s="6"/>
      <c r="D5" s="6"/>
      <c r="E5" s="7"/>
      <c r="F5" s="6"/>
      <c r="G5" s="6"/>
    </row>
    <row r="6" spans="1:7" x14ac:dyDescent="0.3">
      <c r="A6" s="4" t="s">
        <v>0</v>
      </c>
      <c r="B6" s="4" t="s">
        <v>1</v>
      </c>
      <c r="C6" s="4" t="s">
        <v>2</v>
      </c>
      <c r="D6" s="4" t="s">
        <v>3</v>
      </c>
      <c r="E6" s="5" t="s">
        <v>4</v>
      </c>
      <c r="F6" s="4" t="s">
        <v>5</v>
      </c>
      <c r="G6" s="4" t="s">
        <v>6</v>
      </c>
    </row>
    <row r="7" spans="1:7" hidden="1" x14ac:dyDescent="0.3">
      <c r="A7" t="s">
        <v>135</v>
      </c>
      <c r="B7" t="s">
        <v>136</v>
      </c>
      <c r="C7" t="s">
        <v>137</v>
      </c>
      <c r="D7" t="s">
        <v>138</v>
      </c>
      <c r="E7" s="2" t="s">
        <v>139</v>
      </c>
      <c r="F7" s="1" t="s">
        <v>140</v>
      </c>
      <c r="G7" t="s">
        <v>141</v>
      </c>
    </row>
    <row r="8" spans="1:7" x14ac:dyDescent="0.3">
      <c r="A8" t="s">
        <v>67</v>
      </c>
      <c r="B8">
        <v>4</v>
      </c>
      <c r="C8">
        <v>10</v>
      </c>
      <c r="D8">
        <v>3</v>
      </c>
      <c r="E8" s="2">
        <f>(C8-B8)/C8</f>
        <v>0.6</v>
      </c>
      <c r="F8" s="1">
        <f>(E8/D8)*10</f>
        <v>1.9999999999999998</v>
      </c>
      <c r="G8" t="str">
        <f>IF(F8&gt;1,"High Risk",IF(F8&gt;0.5,"Medium Risk","Low Risk"))</f>
        <v>High Risk</v>
      </c>
    </row>
    <row r="9" spans="1:7" x14ac:dyDescent="0.3">
      <c r="A9" t="s">
        <v>7</v>
      </c>
      <c r="B9">
        <v>7</v>
      </c>
      <c r="C9">
        <v>12</v>
      </c>
      <c r="D9">
        <v>4</v>
      </c>
      <c r="E9" s="2">
        <f t="shared" ref="E9:E72" si="0">(C9-B9)/C9</f>
        <v>0.41666666666666669</v>
      </c>
      <c r="F9" s="1">
        <f t="shared" ref="F9:F72" si="1">(E9/D9)*10</f>
        <v>1.0416666666666667</v>
      </c>
      <c r="G9" t="str">
        <f t="shared" ref="G9:G72" si="2">IF(F9&gt;1,"High Risk",IF(F9&gt;0.5,"Medium Risk","Low Risk"))</f>
        <v>High Risk</v>
      </c>
    </row>
    <row r="10" spans="1:7" x14ac:dyDescent="0.3">
      <c r="A10" t="s">
        <v>8</v>
      </c>
      <c r="B10">
        <v>5</v>
      </c>
      <c r="C10">
        <v>9</v>
      </c>
      <c r="D10">
        <v>6</v>
      </c>
      <c r="E10" s="2">
        <f t="shared" si="0"/>
        <v>0.44444444444444442</v>
      </c>
      <c r="F10" s="1">
        <f t="shared" si="1"/>
        <v>0.7407407407407407</v>
      </c>
      <c r="G10" t="str">
        <f t="shared" si="2"/>
        <v>Medium Risk</v>
      </c>
    </row>
    <row r="11" spans="1:7" x14ac:dyDescent="0.3">
      <c r="A11" t="s">
        <v>9</v>
      </c>
      <c r="B11">
        <v>9</v>
      </c>
      <c r="C11">
        <v>10</v>
      </c>
      <c r="D11">
        <v>2</v>
      </c>
      <c r="E11" s="2">
        <f t="shared" si="0"/>
        <v>0.1</v>
      </c>
      <c r="F11" s="1">
        <f t="shared" si="1"/>
        <v>0.5</v>
      </c>
      <c r="G11" t="str">
        <f t="shared" si="2"/>
        <v>Low Risk</v>
      </c>
    </row>
    <row r="12" spans="1:7" x14ac:dyDescent="0.3">
      <c r="A12" t="s">
        <v>10</v>
      </c>
      <c r="B12">
        <v>4</v>
      </c>
      <c r="C12">
        <v>15</v>
      </c>
      <c r="D12">
        <v>10</v>
      </c>
      <c r="E12" s="2">
        <f t="shared" si="0"/>
        <v>0.73333333333333328</v>
      </c>
      <c r="F12" s="1">
        <f t="shared" si="1"/>
        <v>0.73333333333333339</v>
      </c>
      <c r="G12" t="str">
        <f t="shared" si="2"/>
        <v>Medium Risk</v>
      </c>
    </row>
    <row r="13" spans="1:7" x14ac:dyDescent="0.3">
      <c r="A13" t="s">
        <v>11</v>
      </c>
      <c r="B13">
        <v>6</v>
      </c>
      <c r="C13">
        <v>8</v>
      </c>
      <c r="D13">
        <v>1</v>
      </c>
      <c r="E13" s="2">
        <f t="shared" si="0"/>
        <v>0.25</v>
      </c>
      <c r="F13" s="1">
        <f t="shared" si="1"/>
        <v>2.5</v>
      </c>
      <c r="G13" t="str">
        <f t="shared" si="2"/>
        <v>High Risk</v>
      </c>
    </row>
    <row r="14" spans="1:7" x14ac:dyDescent="0.3">
      <c r="A14" t="s">
        <v>12</v>
      </c>
      <c r="B14">
        <v>3</v>
      </c>
      <c r="C14">
        <v>14</v>
      </c>
      <c r="D14">
        <v>8</v>
      </c>
      <c r="E14" s="2">
        <f t="shared" si="0"/>
        <v>0.7857142857142857</v>
      </c>
      <c r="F14" s="1">
        <f t="shared" si="1"/>
        <v>0.9821428571428571</v>
      </c>
      <c r="G14" t="str">
        <f t="shared" si="2"/>
        <v>Medium Risk</v>
      </c>
    </row>
    <row r="15" spans="1:7" x14ac:dyDescent="0.3">
      <c r="A15" t="s">
        <v>13</v>
      </c>
      <c r="B15">
        <v>8</v>
      </c>
      <c r="C15">
        <v>11</v>
      </c>
      <c r="D15">
        <v>5</v>
      </c>
      <c r="E15" s="2">
        <f t="shared" si="0"/>
        <v>0.27272727272727271</v>
      </c>
      <c r="F15" s="1">
        <f t="shared" si="1"/>
        <v>0.54545454545454541</v>
      </c>
      <c r="G15" t="str">
        <f t="shared" si="2"/>
        <v>Medium Risk</v>
      </c>
    </row>
    <row r="16" spans="1:7" x14ac:dyDescent="0.3">
      <c r="A16" t="s">
        <v>14</v>
      </c>
      <c r="B16">
        <v>10</v>
      </c>
      <c r="C16">
        <v>10</v>
      </c>
      <c r="D16">
        <v>3</v>
      </c>
      <c r="E16" s="2">
        <f t="shared" si="0"/>
        <v>0</v>
      </c>
      <c r="F16" s="1">
        <f t="shared" si="1"/>
        <v>0</v>
      </c>
      <c r="G16" t="str">
        <f t="shared" si="2"/>
        <v>Low Risk</v>
      </c>
    </row>
    <row r="17" spans="1:7" x14ac:dyDescent="0.3">
      <c r="A17" t="s">
        <v>15</v>
      </c>
      <c r="B17">
        <v>5</v>
      </c>
      <c r="C17">
        <v>13</v>
      </c>
      <c r="D17">
        <v>7</v>
      </c>
      <c r="E17" s="2">
        <f t="shared" si="0"/>
        <v>0.61538461538461542</v>
      </c>
      <c r="F17" s="1">
        <f t="shared" si="1"/>
        <v>0.87912087912087922</v>
      </c>
      <c r="G17" t="str">
        <f t="shared" si="2"/>
        <v>Medium Risk</v>
      </c>
    </row>
    <row r="18" spans="1:7" x14ac:dyDescent="0.3">
      <c r="A18" t="s">
        <v>16</v>
      </c>
      <c r="B18">
        <v>6</v>
      </c>
      <c r="C18">
        <v>9</v>
      </c>
      <c r="D18">
        <v>2</v>
      </c>
      <c r="E18" s="2">
        <f t="shared" si="0"/>
        <v>0.33333333333333331</v>
      </c>
      <c r="F18" s="1">
        <f t="shared" si="1"/>
        <v>1.6666666666666665</v>
      </c>
      <c r="G18" t="str">
        <f t="shared" si="2"/>
        <v>High Risk</v>
      </c>
    </row>
    <row r="19" spans="1:7" x14ac:dyDescent="0.3">
      <c r="A19" t="s">
        <v>17</v>
      </c>
      <c r="B19">
        <v>2</v>
      </c>
      <c r="C19">
        <v>16</v>
      </c>
      <c r="D19">
        <v>12</v>
      </c>
      <c r="E19" s="2">
        <f t="shared" si="0"/>
        <v>0.875</v>
      </c>
      <c r="F19" s="1">
        <f t="shared" si="1"/>
        <v>0.72916666666666674</v>
      </c>
      <c r="G19" t="str">
        <f t="shared" si="2"/>
        <v>Medium Risk</v>
      </c>
    </row>
    <row r="20" spans="1:7" x14ac:dyDescent="0.3">
      <c r="A20" t="s">
        <v>18</v>
      </c>
      <c r="B20">
        <v>7</v>
      </c>
      <c r="C20">
        <v>10</v>
      </c>
      <c r="D20">
        <v>4</v>
      </c>
      <c r="E20" s="2">
        <f t="shared" si="0"/>
        <v>0.3</v>
      </c>
      <c r="F20" s="1">
        <f t="shared" si="1"/>
        <v>0.75</v>
      </c>
      <c r="G20" t="str">
        <f t="shared" si="2"/>
        <v>Medium Risk</v>
      </c>
    </row>
    <row r="21" spans="1:7" x14ac:dyDescent="0.3">
      <c r="A21" t="s">
        <v>19</v>
      </c>
      <c r="B21">
        <v>9</v>
      </c>
      <c r="C21">
        <v>12</v>
      </c>
      <c r="D21">
        <v>6</v>
      </c>
      <c r="E21" s="2">
        <f t="shared" si="0"/>
        <v>0.25</v>
      </c>
      <c r="F21" s="1">
        <f t="shared" si="1"/>
        <v>0.41666666666666663</v>
      </c>
      <c r="G21" t="str">
        <f t="shared" si="2"/>
        <v>Low Risk</v>
      </c>
    </row>
    <row r="22" spans="1:7" x14ac:dyDescent="0.3">
      <c r="A22" t="s">
        <v>20</v>
      </c>
      <c r="B22">
        <v>4</v>
      </c>
      <c r="C22">
        <v>10</v>
      </c>
      <c r="D22">
        <v>3</v>
      </c>
      <c r="E22" s="2">
        <f t="shared" si="0"/>
        <v>0.6</v>
      </c>
      <c r="F22" s="1">
        <f t="shared" si="1"/>
        <v>1.9999999999999998</v>
      </c>
      <c r="G22" t="str">
        <f t="shared" si="2"/>
        <v>High Risk</v>
      </c>
    </row>
    <row r="23" spans="1:7" x14ac:dyDescent="0.3">
      <c r="A23" t="s">
        <v>21</v>
      </c>
      <c r="B23">
        <v>6</v>
      </c>
      <c r="C23">
        <v>8</v>
      </c>
      <c r="D23">
        <v>1</v>
      </c>
      <c r="E23" s="2">
        <f t="shared" si="0"/>
        <v>0.25</v>
      </c>
      <c r="F23" s="1">
        <f t="shared" si="1"/>
        <v>2.5</v>
      </c>
      <c r="G23" t="str">
        <f t="shared" si="2"/>
        <v>High Risk</v>
      </c>
    </row>
    <row r="24" spans="1:7" x14ac:dyDescent="0.3">
      <c r="A24" t="s">
        <v>22</v>
      </c>
      <c r="B24">
        <v>3</v>
      </c>
      <c r="C24">
        <v>11</v>
      </c>
      <c r="D24">
        <v>9</v>
      </c>
      <c r="E24" s="2">
        <f t="shared" si="0"/>
        <v>0.72727272727272729</v>
      </c>
      <c r="F24" s="1">
        <f t="shared" si="1"/>
        <v>0.80808080808080818</v>
      </c>
      <c r="G24" t="str">
        <f t="shared" si="2"/>
        <v>Medium Risk</v>
      </c>
    </row>
    <row r="25" spans="1:7" x14ac:dyDescent="0.3">
      <c r="A25" t="s">
        <v>23</v>
      </c>
      <c r="B25">
        <v>8</v>
      </c>
      <c r="C25">
        <v>9</v>
      </c>
      <c r="D25">
        <v>2</v>
      </c>
      <c r="E25" s="2">
        <f t="shared" si="0"/>
        <v>0.1111111111111111</v>
      </c>
      <c r="F25" s="1">
        <f t="shared" si="1"/>
        <v>0.55555555555555558</v>
      </c>
      <c r="G25" t="str">
        <f t="shared" si="2"/>
        <v>Medium Risk</v>
      </c>
    </row>
    <row r="26" spans="1:7" x14ac:dyDescent="0.3">
      <c r="A26" t="s">
        <v>24</v>
      </c>
      <c r="B26">
        <v>5</v>
      </c>
      <c r="C26">
        <v>7</v>
      </c>
      <c r="D26">
        <v>1</v>
      </c>
      <c r="E26" s="2">
        <f t="shared" si="0"/>
        <v>0.2857142857142857</v>
      </c>
      <c r="F26" s="1">
        <f t="shared" si="1"/>
        <v>2.8571428571428568</v>
      </c>
      <c r="G26" t="str">
        <f t="shared" si="2"/>
        <v>High Risk</v>
      </c>
    </row>
    <row r="27" spans="1:7" x14ac:dyDescent="0.3">
      <c r="A27" t="s">
        <v>25</v>
      </c>
      <c r="B27">
        <v>10</v>
      </c>
      <c r="C27">
        <v>12</v>
      </c>
      <c r="D27">
        <v>5</v>
      </c>
      <c r="E27" s="2">
        <f t="shared" si="0"/>
        <v>0.16666666666666666</v>
      </c>
      <c r="F27" s="1">
        <f t="shared" si="1"/>
        <v>0.33333333333333331</v>
      </c>
      <c r="G27" t="str">
        <f t="shared" si="2"/>
        <v>Low Risk</v>
      </c>
    </row>
    <row r="28" spans="1:7" x14ac:dyDescent="0.3">
      <c r="A28" t="s">
        <v>26</v>
      </c>
      <c r="B28">
        <v>2</v>
      </c>
      <c r="C28">
        <v>9</v>
      </c>
      <c r="D28">
        <v>4</v>
      </c>
      <c r="E28" s="2">
        <f t="shared" si="0"/>
        <v>0.77777777777777779</v>
      </c>
      <c r="F28" s="1">
        <f t="shared" si="1"/>
        <v>1.9444444444444444</v>
      </c>
      <c r="G28" t="str">
        <f t="shared" si="2"/>
        <v>High Risk</v>
      </c>
    </row>
    <row r="29" spans="1:7" x14ac:dyDescent="0.3">
      <c r="A29" t="s">
        <v>27</v>
      </c>
      <c r="B29">
        <v>6</v>
      </c>
      <c r="C29">
        <v>14</v>
      </c>
      <c r="D29">
        <v>7</v>
      </c>
      <c r="E29" s="2">
        <f t="shared" si="0"/>
        <v>0.5714285714285714</v>
      </c>
      <c r="F29" s="1">
        <f t="shared" si="1"/>
        <v>0.81632653061224481</v>
      </c>
      <c r="G29" t="str">
        <f t="shared" si="2"/>
        <v>Medium Risk</v>
      </c>
    </row>
    <row r="30" spans="1:7" x14ac:dyDescent="0.3">
      <c r="A30" t="s">
        <v>28</v>
      </c>
      <c r="B30">
        <v>4</v>
      </c>
      <c r="C30">
        <v>10</v>
      </c>
      <c r="D30">
        <v>2</v>
      </c>
      <c r="E30" s="2">
        <f t="shared" si="0"/>
        <v>0.6</v>
      </c>
      <c r="F30" s="1">
        <f t="shared" si="1"/>
        <v>3</v>
      </c>
      <c r="G30" t="str">
        <f t="shared" si="2"/>
        <v>High Risk</v>
      </c>
    </row>
    <row r="31" spans="1:7" x14ac:dyDescent="0.3">
      <c r="A31" t="s">
        <v>29</v>
      </c>
      <c r="B31">
        <v>9</v>
      </c>
      <c r="C31">
        <v>9</v>
      </c>
      <c r="D31">
        <v>3</v>
      </c>
      <c r="E31" s="2">
        <f t="shared" si="0"/>
        <v>0</v>
      </c>
      <c r="F31" s="1">
        <f t="shared" si="1"/>
        <v>0</v>
      </c>
      <c r="G31" t="str">
        <f t="shared" si="2"/>
        <v>Low Risk</v>
      </c>
    </row>
    <row r="32" spans="1:7" x14ac:dyDescent="0.3">
      <c r="A32" t="s">
        <v>30</v>
      </c>
      <c r="B32">
        <v>3</v>
      </c>
      <c r="C32">
        <v>8</v>
      </c>
      <c r="D32">
        <v>6</v>
      </c>
      <c r="E32" s="2">
        <f t="shared" si="0"/>
        <v>0.625</v>
      </c>
      <c r="F32" s="1">
        <f t="shared" si="1"/>
        <v>1.0416666666666667</v>
      </c>
      <c r="G32" t="str">
        <f t="shared" si="2"/>
        <v>High Risk</v>
      </c>
    </row>
    <row r="33" spans="1:7" x14ac:dyDescent="0.3">
      <c r="A33" t="s">
        <v>31</v>
      </c>
      <c r="B33">
        <v>7</v>
      </c>
      <c r="C33">
        <v>10</v>
      </c>
      <c r="D33">
        <v>5</v>
      </c>
      <c r="E33" s="2">
        <f t="shared" si="0"/>
        <v>0.3</v>
      </c>
      <c r="F33" s="1">
        <f t="shared" si="1"/>
        <v>0.6</v>
      </c>
      <c r="G33" t="str">
        <f t="shared" si="2"/>
        <v>Medium Risk</v>
      </c>
    </row>
    <row r="34" spans="1:7" x14ac:dyDescent="0.3">
      <c r="A34" t="s">
        <v>32</v>
      </c>
      <c r="B34">
        <v>5</v>
      </c>
      <c r="C34">
        <v>12</v>
      </c>
      <c r="D34">
        <v>8</v>
      </c>
      <c r="E34" s="2">
        <f t="shared" si="0"/>
        <v>0.58333333333333337</v>
      </c>
      <c r="F34" s="1">
        <f t="shared" si="1"/>
        <v>0.72916666666666674</v>
      </c>
      <c r="G34" t="str">
        <f t="shared" si="2"/>
        <v>Medium Risk</v>
      </c>
    </row>
    <row r="35" spans="1:7" x14ac:dyDescent="0.3">
      <c r="A35" t="s">
        <v>33</v>
      </c>
      <c r="B35">
        <v>8</v>
      </c>
      <c r="C35">
        <v>8</v>
      </c>
      <c r="D35">
        <v>1</v>
      </c>
      <c r="E35" s="2">
        <f t="shared" si="0"/>
        <v>0</v>
      </c>
      <c r="F35" s="1">
        <f t="shared" si="1"/>
        <v>0</v>
      </c>
      <c r="G35" t="str">
        <f t="shared" si="2"/>
        <v>Low Risk</v>
      </c>
    </row>
    <row r="36" spans="1:7" x14ac:dyDescent="0.3">
      <c r="A36" t="s">
        <v>34</v>
      </c>
      <c r="B36">
        <v>4</v>
      </c>
      <c r="C36">
        <v>15</v>
      </c>
      <c r="D36">
        <v>10</v>
      </c>
      <c r="E36" s="2">
        <f t="shared" si="0"/>
        <v>0.73333333333333328</v>
      </c>
      <c r="F36" s="1">
        <f t="shared" si="1"/>
        <v>0.73333333333333339</v>
      </c>
      <c r="G36" t="str">
        <f t="shared" si="2"/>
        <v>Medium Risk</v>
      </c>
    </row>
    <row r="37" spans="1:7" x14ac:dyDescent="0.3">
      <c r="A37" t="s">
        <v>35</v>
      </c>
      <c r="B37">
        <v>6</v>
      </c>
      <c r="C37">
        <v>9</v>
      </c>
      <c r="D37">
        <v>3</v>
      </c>
      <c r="E37" s="2">
        <f t="shared" si="0"/>
        <v>0.33333333333333331</v>
      </c>
      <c r="F37" s="1">
        <f t="shared" si="1"/>
        <v>1.1111111111111112</v>
      </c>
      <c r="G37" t="str">
        <f t="shared" si="2"/>
        <v>High Risk</v>
      </c>
    </row>
    <row r="38" spans="1:7" x14ac:dyDescent="0.3">
      <c r="A38" t="s">
        <v>36</v>
      </c>
      <c r="B38">
        <v>9</v>
      </c>
      <c r="C38">
        <v>11</v>
      </c>
      <c r="D38">
        <v>4</v>
      </c>
      <c r="E38" s="2">
        <f t="shared" si="0"/>
        <v>0.18181818181818182</v>
      </c>
      <c r="F38" s="1">
        <f t="shared" si="1"/>
        <v>0.45454545454545459</v>
      </c>
      <c r="G38" t="str">
        <f t="shared" si="2"/>
        <v>Low Risk</v>
      </c>
    </row>
    <row r="39" spans="1:7" x14ac:dyDescent="0.3">
      <c r="A39" t="s">
        <v>37</v>
      </c>
      <c r="B39">
        <v>7</v>
      </c>
      <c r="C39">
        <v>7</v>
      </c>
      <c r="D39">
        <v>2</v>
      </c>
      <c r="E39" s="2">
        <f t="shared" si="0"/>
        <v>0</v>
      </c>
      <c r="F39" s="1">
        <f t="shared" si="1"/>
        <v>0</v>
      </c>
      <c r="G39" t="str">
        <f t="shared" si="2"/>
        <v>Low Risk</v>
      </c>
    </row>
    <row r="40" spans="1:7" x14ac:dyDescent="0.3">
      <c r="A40" t="s">
        <v>38</v>
      </c>
      <c r="B40">
        <v>3</v>
      </c>
      <c r="C40">
        <v>10</v>
      </c>
      <c r="D40">
        <v>6</v>
      </c>
      <c r="E40" s="2">
        <f t="shared" si="0"/>
        <v>0.7</v>
      </c>
      <c r="F40" s="1">
        <f t="shared" si="1"/>
        <v>1.1666666666666665</v>
      </c>
      <c r="G40" t="str">
        <f t="shared" si="2"/>
        <v>High Risk</v>
      </c>
    </row>
    <row r="41" spans="1:7" x14ac:dyDescent="0.3">
      <c r="A41" t="s">
        <v>39</v>
      </c>
      <c r="B41">
        <v>8</v>
      </c>
      <c r="C41">
        <v>13</v>
      </c>
      <c r="D41">
        <v>5</v>
      </c>
      <c r="E41" s="2">
        <f t="shared" si="0"/>
        <v>0.38461538461538464</v>
      </c>
      <c r="F41" s="1">
        <f t="shared" si="1"/>
        <v>0.76923076923076927</v>
      </c>
      <c r="G41" t="str">
        <f t="shared" si="2"/>
        <v>Medium Risk</v>
      </c>
    </row>
    <row r="42" spans="1:7" x14ac:dyDescent="0.3">
      <c r="A42" t="s">
        <v>40</v>
      </c>
      <c r="B42">
        <v>5</v>
      </c>
      <c r="C42">
        <v>9</v>
      </c>
      <c r="D42">
        <v>2</v>
      </c>
      <c r="E42" s="2">
        <f t="shared" si="0"/>
        <v>0.44444444444444442</v>
      </c>
      <c r="F42" s="1">
        <f t="shared" si="1"/>
        <v>2.2222222222222223</v>
      </c>
      <c r="G42" t="str">
        <f t="shared" si="2"/>
        <v>High Risk</v>
      </c>
    </row>
    <row r="43" spans="1:7" x14ac:dyDescent="0.3">
      <c r="A43" t="s">
        <v>41</v>
      </c>
      <c r="B43">
        <v>10</v>
      </c>
      <c r="C43">
        <v>10</v>
      </c>
      <c r="D43">
        <v>4</v>
      </c>
      <c r="E43" s="2">
        <f t="shared" si="0"/>
        <v>0</v>
      </c>
      <c r="F43" s="1">
        <f t="shared" si="1"/>
        <v>0</v>
      </c>
      <c r="G43" t="str">
        <f t="shared" si="2"/>
        <v>Low Risk</v>
      </c>
    </row>
    <row r="44" spans="1:7" x14ac:dyDescent="0.3">
      <c r="A44" t="s">
        <v>42</v>
      </c>
      <c r="B44">
        <v>4</v>
      </c>
      <c r="C44">
        <v>12</v>
      </c>
      <c r="D44">
        <v>9</v>
      </c>
      <c r="E44" s="2">
        <f t="shared" si="0"/>
        <v>0.66666666666666663</v>
      </c>
      <c r="F44" s="1">
        <f t="shared" si="1"/>
        <v>0.7407407407407407</v>
      </c>
      <c r="G44" t="str">
        <f t="shared" si="2"/>
        <v>Medium Risk</v>
      </c>
    </row>
    <row r="45" spans="1:7" x14ac:dyDescent="0.3">
      <c r="A45" t="s">
        <v>43</v>
      </c>
      <c r="B45">
        <v>6</v>
      </c>
      <c r="C45">
        <v>11</v>
      </c>
      <c r="D45">
        <v>3</v>
      </c>
      <c r="E45" s="2">
        <f t="shared" si="0"/>
        <v>0.45454545454545453</v>
      </c>
      <c r="F45" s="1">
        <f t="shared" si="1"/>
        <v>1.5151515151515151</v>
      </c>
      <c r="G45" t="str">
        <f t="shared" si="2"/>
        <v>High Risk</v>
      </c>
    </row>
    <row r="46" spans="1:7" x14ac:dyDescent="0.3">
      <c r="A46" t="s">
        <v>44</v>
      </c>
      <c r="B46">
        <v>9</v>
      </c>
      <c r="C46">
        <v>9</v>
      </c>
      <c r="D46">
        <v>1</v>
      </c>
      <c r="E46" s="2">
        <f t="shared" si="0"/>
        <v>0</v>
      </c>
      <c r="F46" s="1">
        <f t="shared" si="1"/>
        <v>0</v>
      </c>
      <c r="G46" t="str">
        <f t="shared" si="2"/>
        <v>Low Risk</v>
      </c>
    </row>
    <row r="47" spans="1:7" x14ac:dyDescent="0.3">
      <c r="A47" t="s">
        <v>45</v>
      </c>
      <c r="B47">
        <v>3</v>
      </c>
      <c r="C47">
        <v>8</v>
      </c>
      <c r="D47">
        <v>5</v>
      </c>
      <c r="E47" s="2">
        <f t="shared" si="0"/>
        <v>0.625</v>
      </c>
      <c r="F47" s="1">
        <f t="shared" si="1"/>
        <v>1.25</v>
      </c>
      <c r="G47" t="str">
        <f t="shared" si="2"/>
        <v>High Risk</v>
      </c>
    </row>
    <row r="48" spans="1:7" x14ac:dyDescent="0.3">
      <c r="A48" t="s">
        <v>46</v>
      </c>
      <c r="B48">
        <v>7</v>
      </c>
      <c r="C48">
        <v>14</v>
      </c>
      <c r="D48">
        <v>6</v>
      </c>
      <c r="E48" s="2">
        <f t="shared" si="0"/>
        <v>0.5</v>
      </c>
      <c r="F48" s="1">
        <f t="shared" si="1"/>
        <v>0.83333333333333326</v>
      </c>
      <c r="G48" t="str">
        <f t="shared" si="2"/>
        <v>Medium Risk</v>
      </c>
    </row>
    <row r="49" spans="1:7" x14ac:dyDescent="0.3">
      <c r="A49" t="s">
        <v>47</v>
      </c>
      <c r="B49">
        <v>5</v>
      </c>
      <c r="C49">
        <v>10</v>
      </c>
      <c r="D49">
        <v>2</v>
      </c>
      <c r="E49" s="2">
        <f t="shared" si="0"/>
        <v>0.5</v>
      </c>
      <c r="F49" s="1">
        <f t="shared" si="1"/>
        <v>2.5</v>
      </c>
      <c r="G49" t="str">
        <f t="shared" si="2"/>
        <v>High Risk</v>
      </c>
    </row>
    <row r="50" spans="1:7" x14ac:dyDescent="0.3">
      <c r="A50" t="s">
        <v>48</v>
      </c>
      <c r="B50">
        <v>8</v>
      </c>
      <c r="C50">
        <v>12</v>
      </c>
      <c r="D50">
        <v>7</v>
      </c>
      <c r="E50" s="2">
        <f t="shared" si="0"/>
        <v>0.33333333333333331</v>
      </c>
      <c r="F50" s="1">
        <f t="shared" si="1"/>
        <v>0.47619047619047616</v>
      </c>
      <c r="G50" t="str">
        <f t="shared" si="2"/>
        <v>Low Risk</v>
      </c>
    </row>
    <row r="51" spans="1:7" x14ac:dyDescent="0.3">
      <c r="A51" t="s">
        <v>49</v>
      </c>
      <c r="B51">
        <v>2</v>
      </c>
      <c r="C51">
        <v>9</v>
      </c>
      <c r="D51">
        <v>3</v>
      </c>
      <c r="E51" s="2">
        <f t="shared" si="0"/>
        <v>0.77777777777777779</v>
      </c>
      <c r="F51" s="1">
        <f t="shared" si="1"/>
        <v>2.5925925925925926</v>
      </c>
      <c r="G51" t="str">
        <f t="shared" si="2"/>
        <v>High Risk</v>
      </c>
    </row>
    <row r="52" spans="1:7" x14ac:dyDescent="0.3">
      <c r="A52" t="s">
        <v>50</v>
      </c>
      <c r="B52">
        <v>6</v>
      </c>
      <c r="C52">
        <v>8</v>
      </c>
      <c r="D52">
        <v>1</v>
      </c>
      <c r="E52" s="2">
        <f t="shared" si="0"/>
        <v>0.25</v>
      </c>
      <c r="F52" s="1">
        <f t="shared" si="1"/>
        <v>2.5</v>
      </c>
      <c r="G52" t="str">
        <f t="shared" si="2"/>
        <v>High Risk</v>
      </c>
    </row>
    <row r="53" spans="1:7" x14ac:dyDescent="0.3">
      <c r="A53" t="s">
        <v>51</v>
      </c>
      <c r="B53">
        <v>4</v>
      </c>
      <c r="C53">
        <v>13</v>
      </c>
      <c r="D53">
        <v>10</v>
      </c>
      <c r="E53" s="2">
        <f t="shared" si="0"/>
        <v>0.69230769230769229</v>
      </c>
      <c r="F53" s="1">
        <f t="shared" si="1"/>
        <v>0.69230769230769229</v>
      </c>
      <c r="G53" t="str">
        <f t="shared" si="2"/>
        <v>Medium Risk</v>
      </c>
    </row>
    <row r="54" spans="1:7" x14ac:dyDescent="0.3">
      <c r="A54" t="s">
        <v>52</v>
      </c>
      <c r="B54">
        <v>9</v>
      </c>
      <c r="C54">
        <v>10</v>
      </c>
      <c r="D54">
        <v>4</v>
      </c>
      <c r="E54" s="2">
        <f t="shared" si="0"/>
        <v>0.1</v>
      </c>
      <c r="F54" s="1">
        <f t="shared" si="1"/>
        <v>0.25</v>
      </c>
      <c r="G54" t="str">
        <f t="shared" si="2"/>
        <v>Low Risk</v>
      </c>
    </row>
    <row r="55" spans="1:7" x14ac:dyDescent="0.3">
      <c r="A55" t="s">
        <v>53</v>
      </c>
      <c r="B55">
        <v>7</v>
      </c>
      <c r="C55">
        <v>11</v>
      </c>
      <c r="D55">
        <v>5</v>
      </c>
      <c r="E55" s="2">
        <f t="shared" si="0"/>
        <v>0.36363636363636365</v>
      </c>
      <c r="F55" s="1">
        <f t="shared" si="1"/>
        <v>0.72727272727272729</v>
      </c>
      <c r="G55" t="str">
        <f t="shared" si="2"/>
        <v>Medium Risk</v>
      </c>
    </row>
    <row r="56" spans="1:7" x14ac:dyDescent="0.3">
      <c r="A56" t="s">
        <v>54</v>
      </c>
      <c r="B56">
        <v>5</v>
      </c>
      <c r="C56">
        <v>9</v>
      </c>
      <c r="D56">
        <v>2</v>
      </c>
      <c r="E56" s="2">
        <f t="shared" si="0"/>
        <v>0.44444444444444442</v>
      </c>
      <c r="F56" s="1">
        <f t="shared" si="1"/>
        <v>2.2222222222222223</v>
      </c>
      <c r="G56" t="str">
        <f t="shared" si="2"/>
        <v>High Risk</v>
      </c>
    </row>
    <row r="57" spans="1:7" x14ac:dyDescent="0.3">
      <c r="A57" t="s">
        <v>55</v>
      </c>
      <c r="B57">
        <v>8</v>
      </c>
      <c r="C57">
        <v>10</v>
      </c>
      <c r="D57">
        <v>3</v>
      </c>
      <c r="E57" s="2">
        <f t="shared" si="0"/>
        <v>0.2</v>
      </c>
      <c r="F57" s="1">
        <f t="shared" si="1"/>
        <v>0.66666666666666663</v>
      </c>
      <c r="G57" t="str">
        <f t="shared" si="2"/>
        <v>Medium Risk</v>
      </c>
    </row>
    <row r="58" spans="1:7" x14ac:dyDescent="0.3">
      <c r="A58" t="s">
        <v>56</v>
      </c>
      <c r="B58">
        <v>6</v>
      </c>
      <c r="C58">
        <v>7</v>
      </c>
      <c r="D58">
        <v>1</v>
      </c>
      <c r="E58" s="2">
        <f t="shared" si="0"/>
        <v>0.14285714285714285</v>
      </c>
      <c r="F58" s="1">
        <f t="shared" si="1"/>
        <v>1.4285714285714284</v>
      </c>
      <c r="G58" t="str">
        <f t="shared" si="2"/>
        <v>High Risk</v>
      </c>
    </row>
    <row r="59" spans="1:7" x14ac:dyDescent="0.3">
      <c r="A59" t="s">
        <v>57</v>
      </c>
      <c r="B59">
        <v>3</v>
      </c>
      <c r="C59">
        <v>12</v>
      </c>
      <c r="D59">
        <v>8</v>
      </c>
      <c r="E59" s="2">
        <f t="shared" si="0"/>
        <v>0.75</v>
      </c>
      <c r="F59" s="1">
        <f t="shared" si="1"/>
        <v>0.9375</v>
      </c>
      <c r="G59" t="str">
        <f t="shared" si="2"/>
        <v>Medium Risk</v>
      </c>
    </row>
    <row r="60" spans="1:7" x14ac:dyDescent="0.3">
      <c r="A60" t="s">
        <v>58</v>
      </c>
      <c r="B60">
        <v>9</v>
      </c>
      <c r="C60">
        <v>9</v>
      </c>
      <c r="D60">
        <v>2</v>
      </c>
      <c r="E60" s="2">
        <f t="shared" si="0"/>
        <v>0</v>
      </c>
      <c r="F60" s="1">
        <f t="shared" si="1"/>
        <v>0</v>
      </c>
      <c r="G60" t="str">
        <f t="shared" si="2"/>
        <v>Low Risk</v>
      </c>
    </row>
    <row r="61" spans="1:7" x14ac:dyDescent="0.3">
      <c r="A61" t="s">
        <v>59</v>
      </c>
      <c r="B61">
        <v>5</v>
      </c>
      <c r="C61">
        <v>10</v>
      </c>
      <c r="D61">
        <v>4</v>
      </c>
      <c r="E61" s="2">
        <f t="shared" si="0"/>
        <v>0.5</v>
      </c>
      <c r="F61" s="1">
        <f t="shared" si="1"/>
        <v>1.25</v>
      </c>
      <c r="G61" t="str">
        <f t="shared" si="2"/>
        <v>High Risk</v>
      </c>
    </row>
    <row r="62" spans="1:7" x14ac:dyDescent="0.3">
      <c r="A62" t="s">
        <v>60</v>
      </c>
      <c r="B62">
        <v>7</v>
      </c>
      <c r="C62">
        <v>13</v>
      </c>
      <c r="D62">
        <v>6</v>
      </c>
      <c r="E62" s="2">
        <f t="shared" si="0"/>
        <v>0.46153846153846156</v>
      </c>
      <c r="F62" s="1">
        <f t="shared" si="1"/>
        <v>0.76923076923076927</v>
      </c>
      <c r="G62" t="str">
        <f t="shared" si="2"/>
        <v>Medium Risk</v>
      </c>
    </row>
    <row r="63" spans="1:7" x14ac:dyDescent="0.3">
      <c r="A63" t="s">
        <v>61</v>
      </c>
      <c r="B63">
        <v>4</v>
      </c>
      <c r="C63">
        <v>8</v>
      </c>
      <c r="D63">
        <v>1</v>
      </c>
      <c r="E63" s="2">
        <f t="shared" si="0"/>
        <v>0.5</v>
      </c>
      <c r="F63" s="1">
        <f t="shared" si="1"/>
        <v>5</v>
      </c>
      <c r="G63" t="str">
        <f t="shared" si="2"/>
        <v>High Risk</v>
      </c>
    </row>
    <row r="64" spans="1:7" x14ac:dyDescent="0.3">
      <c r="A64" t="s">
        <v>62</v>
      </c>
      <c r="B64">
        <v>10</v>
      </c>
      <c r="C64">
        <v>11</v>
      </c>
      <c r="D64">
        <v>5</v>
      </c>
      <c r="E64" s="2">
        <f t="shared" si="0"/>
        <v>9.0909090909090912E-2</v>
      </c>
      <c r="F64" s="1">
        <f t="shared" si="1"/>
        <v>0.18181818181818182</v>
      </c>
      <c r="G64" t="str">
        <f t="shared" si="2"/>
        <v>Low Risk</v>
      </c>
    </row>
    <row r="65" spans="1:7" x14ac:dyDescent="0.3">
      <c r="A65" t="s">
        <v>63</v>
      </c>
      <c r="B65">
        <v>6</v>
      </c>
      <c r="C65">
        <v>9</v>
      </c>
      <c r="D65">
        <v>3</v>
      </c>
      <c r="E65" s="2">
        <f t="shared" si="0"/>
        <v>0.33333333333333331</v>
      </c>
      <c r="F65" s="1">
        <f t="shared" si="1"/>
        <v>1.1111111111111112</v>
      </c>
      <c r="G65" t="str">
        <f t="shared" si="2"/>
        <v>High Risk</v>
      </c>
    </row>
    <row r="66" spans="1:7" x14ac:dyDescent="0.3">
      <c r="A66" t="s">
        <v>64</v>
      </c>
      <c r="B66">
        <v>8</v>
      </c>
      <c r="C66">
        <v>12</v>
      </c>
      <c r="D66">
        <v>7</v>
      </c>
      <c r="E66" s="2">
        <f t="shared" si="0"/>
        <v>0.33333333333333331</v>
      </c>
      <c r="F66" s="1">
        <f t="shared" si="1"/>
        <v>0.47619047619047616</v>
      </c>
      <c r="G66" t="str">
        <f t="shared" si="2"/>
        <v>Low Risk</v>
      </c>
    </row>
    <row r="67" spans="1:7" x14ac:dyDescent="0.3">
      <c r="A67" t="s">
        <v>65</v>
      </c>
      <c r="B67">
        <v>3</v>
      </c>
      <c r="C67">
        <v>10</v>
      </c>
      <c r="D67">
        <v>2</v>
      </c>
      <c r="E67" s="2">
        <f t="shared" si="0"/>
        <v>0.7</v>
      </c>
      <c r="F67" s="1">
        <f t="shared" si="1"/>
        <v>3.5</v>
      </c>
      <c r="G67" t="str">
        <f t="shared" si="2"/>
        <v>High Risk</v>
      </c>
    </row>
    <row r="68" spans="1:7" x14ac:dyDescent="0.3">
      <c r="A68" t="s">
        <v>66</v>
      </c>
      <c r="B68">
        <v>7</v>
      </c>
      <c r="C68">
        <v>8</v>
      </c>
      <c r="D68">
        <v>1</v>
      </c>
      <c r="E68" s="2">
        <f t="shared" si="0"/>
        <v>0.125</v>
      </c>
      <c r="F68" s="1">
        <f t="shared" si="1"/>
        <v>1.25</v>
      </c>
      <c r="G68" t="str">
        <f t="shared" si="2"/>
        <v>High Risk</v>
      </c>
    </row>
    <row r="69" spans="1:7" x14ac:dyDescent="0.3">
      <c r="A69" t="s">
        <v>70</v>
      </c>
      <c r="B69">
        <v>6</v>
      </c>
      <c r="C69">
        <v>10</v>
      </c>
      <c r="D69">
        <v>4</v>
      </c>
      <c r="E69" s="2">
        <f t="shared" si="0"/>
        <v>0.4</v>
      </c>
      <c r="F69" s="1">
        <f t="shared" si="1"/>
        <v>1</v>
      </c>
      <c r="G69" t="str">
        <f t="shared" si="2"/>
        <v>Medium Risk</v>
      </c>
    </row>
    <row r="70" spans="1:7" x14ac:dyDescent="0.3">
      <c r="A70" t="s">
        <v>71</v>
      </c>
      <c r="B70">
        <v>8</v>
      </c>
      <c r="C70">
        <v>12</v>
      </c>
      <c r="D70">
        <v>6</v>
      </c>
      <c r="E70" s="2">
        <f t="shared" si="0"/>
        <v>0.33333333333333331</v>
      </c>
      <c r="F70" s="1">
        <f t="shared" si="1"/>
        <v>0.55555555555555558</v>
      </c>
      <c r="G70" t="str">
        <f t="shared" si="2"/>
        <v>Medium Risk</v>
      </c>
    </row>
    <row r="71" spans="1:7" x14ac:dyDescent="0.3">
      <c r="A71" t="s">
        <v>72</v>
      </c>
      <c r="B71">
        <v>5</v>
      </c>
      <c r="C71">
        <v>9</v>
      </c>
      <c r="D71">
        <v>2</v>
      </c>
      <c r="E71" s="2">
        <f t="shared" si="0"/>
        <v>0.44444444444444442</v>
      </c>
      <c r="F71" s="1">
        <f t="shared" si="1"/>
        <v>2.2222222222222223</v>
      </c>
      <c r="G71" t="str">
        <f t="shared" si="2"/>
        <v>High Risk</v>
      </c>
    </row>
    <row r="72" spans="1:7" x14ac:dyDescent="0.3">
      <c r="A72" t="s">
        <v>73</v>
      </c>
      <c r="B72">
        <v>4</v>
      </c>
      <c r="C72">
        <v>11</v>
      </c>
      <c r="D72">
        <v>7</v>
      </c>
      <c r="E72" s="2">
        <f t="shared" si="0"/>
        <v>0.63636363636363635</v>
      </c>
      <c r="F72" s="1">
        <f t="shared" si="1"/>
        <v>0.90909090909090917</v>
      </c>
      <c r="G72" t="str">
        <f t="shared" si="2"/>
        <v>Medium Risk</v>
      </c>
    </row>
    <row r="73" spans="1:7" x14ac:dyDescent="0.3">
      <c r="A73" t="s">
        <v>74</v>
      </c>
      <c r="B73">
        <v>9</v>
      </c>
      <c r="C73">
        <v>13</v>
      </c>
      <c r="D73">
        <v>3</v>
      </c>
      <c r="E73" s="2">
        <f t="shared" ref="E73:E131" si="3">(C73-B73)/C73</f>
        <v>0.30769230769230771</v>
      </c>
      <c r="F73" s="1">
        <f t="shared" ref="F73:F131" si="4">(E73/D73)*10</f>
        <v>1.0256410256410258</v>
      </c>
      <c r="G73" t="str">
        <f t="shared" ref="G73:G131" si="5">IF(F73&gt;1,"High Risk",IF(F73&gt;0.5,"Medium Risk","Low Risk"))</f>
        <v>High Risk</v>
      </c>
    </row>
    <row r="74" spans="1:7" x14ac:dyDescent="0.3">
      <c r="A74" t="s">
        <v>75</v>
      </c>
      <c r="B74">
        <v>7</v>
      </c>
      <c r="C74">
        <v>10</v>
      </c>
      <c r="D74">
        <v>5</v>
      </c>
      <c r="E74" s="2">
        <f t="shared" si="3"/>
        <v>0.3</v>
      </c>
      <c r="F74" s="1">
        <f t="shared" si="4"/>
        <v>0.6</v>
      </c>
      <c r="G74" t="str">
        <f t="shared" si="5"/>
        <v>Medium Risk</v>
      </c>
    </row>
    <row r="75" spans="1:7" x14ac:dyDescent="0.3">
      <c r="A75" t="s">
        <v>76</v>
      </c>
      <c r="B75">
        <v>3</v>
      </c>
      <c r="C75">
        <v>9</v>
      </c>
      <c r="D75">
        <v>8</v>
      </c>
      <c r="E75" s="2">
        <f t="shared" si="3"/>
        <v>0.66666666666666663</v>
      </c>
      <c r="F75" s="1">
        <f t="shared" si="4"/>
        <v>0.83333333333333326</v>
      </c>
      <c r="G75" t="str">
        <f t="shared" si="5"/>
        <v>Medium Risk</v>
      </c>
    </row>
    <row r="76" spans="1:7" x14ac:dyDescent="0.3">
      <c r="A76" t="s">
        <v>77</v>
      </c>
      <c r="B76">
        <v>6</v>
      </c>
      <c r="C76">
        <v>8</v>
      </c>
      <c r="D76">
        <v>1</v>
      </c>
      <c r="E76" s="2">
        <f t="shared" si="3"/>
        <v>0.25</v>
      </c>
      <c r="F76" s="1">
        <f t="shared" si="4"/>
        <v>2.5</v>
      </c>
      <c r="G76" t="str">
        <f t="shared" si="5"/>
        <v>High Risk</v>
      </c>
    </row>
    <row r="77" spans="1:7" x14ac:dyDescent="0.3">
      <c r="A77" t="s">
        <v>78</v>
      </c>
      <c r="B77">
        <v>5</v>
      </c>
      <c r="C77">
        <v>12</v>
      </c>
      <c r="D77">
        <v>6</v>
      </c>
      <c r="E77" s="2">
        <f t="shared" si="3"/>
        <v>0.58333333333333337</v>
      </c>
      <c r="F77" s="1">
        <f t="shared" si="4"/>
        <v>0.97222222222222221</v>
      </c>
      <c r="G77" t="str">
        <f t="shared" si="5"/>
        <v>Medium Risk</v>
      </c>
    </row>
    <row r="78" spans="1:7" x14ac:dyDescent="0.3">
      <c r="A78" t="s">
        <v>79</v>
      </c>
      <c r="B78">
        <v>8</v>
      </c>
      <c r="C78">
        <v>9</v>
      </c>
      <c r="D78">
        <v>2</v>
      </c>
      <c r="E78" s="2">
        <f t="shared" si="3"/>
        <v>0.1111111111111111</v>
      </c>
      <c r="F78" s="1">
        <f t="shared" si="4"/>
        <v>0.55555555555555558</v>
      </c>
      <c r="G78" t="str">
        <f t="shared" si="5"/>
        <v>Medium Risk</v>
      </c>
    </row>
    <row r="79" spans="1:7" x14ac:dyDescent="0.3">
      <c r="A79" t="s">
        <v>80</v>
      </c>
      <c r="B79">
        <v>4</v>
      </c>
      <c r="C79">
        <v>14</v>
      </c>
      <c r="D79">
        <v>9</v>
      </c>
      <c r="E79" s="2">
        <f t="shared" si="3"/>
        <v>0.7142857142857143</v>
      </c>
      <c r="F79" s="1">
        <f t="shared" si="4"/>
        <v>0.79365079365079361</v>
      </c>
      <c r="G79" t="str">
        <f t="shared" si="5"/>
        <v>Medium Risk</v>
      </c>
    </row>
    <row r="80" spans="1:7" x14ac:dyDescent="0.3">
      <c r="A80" t="s">
        <v>81</v>
      </c>
      <c r="B80">
        <v>7</v>
      </c>
      <c r="C80">
        <v>10</v>
      </c>
      <c r="D80">
        <v>3</v>
      </c>
      <c r="E80" s="2">
        <f t="shared" si="3"/>
        <v>0.3</v>
      </c>
      <c r="F80" s="1">
        <f t="shared" si="4"/>
        <v>0.99999999999999989</v>
      </c>
      <c r="G80" t="str">
        <f t="shared" si="5"/>
        <v>Medium Risk</v>
      </c>
    </row>
    <row r="81" spans="1:7" x14ac:dyDescent="0.3">
      <c r="A81" t="s">
        <v>82</v>
      </c>
      <c r="B81">
        <v>9</v>
      </c>
      <c r="C81">
        <v>11</v>
      </c>
      <c r="D81">
        <v>4</v>
      </c>
      <c r="E81" s="2">
        <f t="shared" si="3"/>
        <v>0.18181818181818182</v>
      </c>
      <c r="F81" s="1">
        <f t="shared" si="4"/>
        <v>0.45454545454545459</v>
      </c>
      <c r="G81" t="str">
        <f t="shared" si="5"/>
        <v>Low Risk</v>
      </c>
    </row>
    <row r="82" spans="1:7" x14ac:dyDescent="0.3">
      <c r="A82" t="s">
        <v>83</v>
      </c>
      <c r="B82">
        <v>5</v>
      </c>
      <c r="C82">
        <v>9</v>
      </c>
      <c r="D82">
        <v>2</v>
      </c>
      <c r="E82" s="2">
        <f t="shared" si="3"/>
        <v>0.44444444444444442</v>
      </c>
      <c r="F82" s="1">
        <f t="shared" si="4"/>
        <v>2.2222222222222223</v>
      </c>
      <c r="G82" t="str">
        <f t="shared" si="5"/>
        <v>High Risk</v>
      </c>
    </row>
    <row r="83" spans="1:7" x14ac:dyDescent="0.3">
      <c r="A83" t="s">
        <v>84</v>
      </c>
      <c r="B83">
        <v>6</v>
      </c>
      <c r="C83">
        <v>13</v>
      </c>
      <c r="D83">
        <v>7</v>
      </c>
      <c r="E83" s="2">
        <f t="shared" si="3"/>
        <v>0.53846153846153844</v>
      </c>
      <c r="F83" s="1">
        <f t="shared" si="4"/>
        <v>0.76923076923076916</v>
      </c>
      <c r="G83" t="str">
        <f t="shared" si="5"/>
        <v>Medium Risk</v>
      </c>
    </row>
    <row r="84" spans="1:7" x14ac:dyDescent="0.3">
      <c r="A84" t="s">
        <v>85</v>
      </c>
      <c r="B84">
        <v>3</v>
      </c>
      <c r="C84">
        <v>10</v>
      </c>
      <c r="D84">
        <v>5</v>
      </c>
      <c r="E84" s="2">
        <f t="shared" si="3"/>
        <v>0.7</v>
      </c>
      <c r="F84" s="1">
        <f t="shared" si="4"/>
        <v>1.4</v>
      </c>
      <c r="G84" t="str">
        <f t="shared" si="5"/>
        <v>High Risk</v>
      </c>
    </row>
    <row r="85" spans="1:7" x14ac:dyDescent="0.3">
      <c r="A85" t="s">
        <v>86</v>
      </c>
      <c r="B85">
        <v>8</v>
      </c>
      <c r="C85">
        <v>8</v>
      </c>
      <c r="D85">
        <v>1</v>
      </c>
      <c r="E85" s="2">
        <f t="shared" si="3"/>
        <v>0</v>
      </c>
      <c r="F85" s="1">
        <f t="shared" si="4"/>
        <v>0</v>
      </c>
      <c r="G85" t="str">
        <f t="shared" si="5"/>
        <v>Low Risk</v>
      </c>
    </row>
    <row r="86" spans="1:7" x14ac:dyDescent="0.3">
      <c r="A86" t="s">
        <v>87</v>
      </c>
      <c r="B86">
        <v>4</v>
      </c>
      <c r="C86">
        <v>12</v>
      </c>
      <c r="D86">
        <v>8</v>
      </c>
      <c r="E86" s="2">
        <f t="shared" si="3"/>
        <v>0.66666666666666663</v>
      </c>
      <c r="F86" s="1">
        <f t="shared" si="4"/>
        <v>0.83333333333333326</v>
      </c>
      <c r="G86" t="str">
        <f t="shared" si="5"/>
        <v>Medium Risk</v>
      </c>
    </row>
    <row r="87" spans="1:7" x14ac:dyDescent="0.3">
      <c r="A87" t="s">
        <v>88</v>
      </c>
      <c r="B87">
        <v>7</v>
      </c>
      <c r="C87">
        <v>9</v>
      </c>
      <c r="D87">
        <v>3</v>
      </c>
      <c r="E87" s="2">
        <f t="shared" si="3"/>
        <v>0.22222222222222221</v>
      </c>
      <c r="F87" s="1">
        <f t="shared" si="4"/>
        <v>0.7407407407407407</v>
      </c>
      <c r="G87" t="str">
        <f t="shared" si="5"/>
        <v>Medium Risk</v>
      </c>
    </row>
    <row r="88" spans="1:7" x14ac:dyDescent="0.3">
      <c r="A88" t="s">
        <v>89</v>
      </c>
      <c r="B88">
        <v>9</v>
      </c>
      <c r="C88">
        <v>10</v>
      </c>
      <c r="D88">
        <v>2</v>
      </c>
      <c r="E88" s="2">
        <f t="shared" si="3"/>
        <v>0.1</v>
      </c>
      <c r="F88" s="1">
        <f t="shared" si="4"/>
        <v>0.5</v>
      </c>
      <c r="G88" t="str">
        <f t="shared" si="5"/>
        <v>Low Risk</v>
      </c>
    </row>
    <row r="89" spans="1:7" x14ac:dyDescent="0.3">
      <c r="A89" t="s">
        <v>90</v>
      </c>
      <c r="B89">
        <v>5</v>
      </c>
      <c r="C89">
        <v>11</v>
      </c>
      <c r="D89">
        <v>6</v>
      </c>
      <c r="E89" s="2">
        <f t="shared" si="3"/>
        <v>0.54545454545454541</v>
      </c>
      <c r="F89" s="1">
        <f t="shared" si="4"/>
        <v>0.90909090909090895</v>
      </c>
      <c r="G89" t="str">
        <f t="shared" si="5"/>
        <v>Medium Risk</v>
      </c>
    </row>
    <row r="90" spans="1:7" x14ac:dyDescent="0.3">
      <c r="A90" t="s">
        <v>91</v>
      </c>
      <c r="B90">
        <v>6</v>
      </c>
      <c r="C90">
        <v>9</v>
      </c>
      <c r="D90">
        <v>4</v>
      </c>
      <c r="E90" s="2">
        <f t="shared" si="3"/>
        <v>0.33333333333333331</v>
      </c>
      <c r="F90" s="1">
        <f t="shared" si="4"/>
        <v>0.83333333333333326</v>
      </c>
      <c r="G90" t="str">
        <f t="shared" si="5"/>
        <v>Medium Risk</v>
      </c>
    </row>
    <row r="91" spans="1:7" x14ac:dyDescent="0.3">
      <c r="A91" t="s">
        <v>92</v>
      </c>
      <c r="B91">
        <v>8</v>
      </c>
      <c r="C91">
        <v>7</v>
      </c>
      <c r="D91">
        <v>1</v>
      </c>
      <c r="E91" s="2">
        <f t="shared" si="3"/>
        <v>-0.14285714285714285</v>
      </c>
      <c r="F91" s="1">
        <f t="shared" si="4"/>
        <v>-1.4285714285714284</v>
      </c>
      <c r="G91" t="str">
        <f t="shared" si="5"/>
        <v>Low Risk</v>
      </c>
    </row>
    <row r="92" spans="1:7" x14ac:dyDescent="0.3">
      <c r="A92" t="s">
        <v>93</v>
      </c>
      <c r="B92">
        <v>3</v>
      </c>
      <c r="C92">
        <v>10</v>
      </c>
      <c r="D92">
        <v>7</v>
      </c>
      <c r="E92" s="2">
        <f t="shared" si="3"/>
        <v>0.7</v>
      </c>
      <c r="F92" s="1">
        <f t="shared" si="4"/>
        <v>0.99999999999999989</v>
      </c>
      <c r="G92" t="str">
        <f t="shared" si="5"/>
        <v>Medium Risk</v>
      </c>
    </row>
    <row r="93" spans="1:7" x14ac:dyDescent="0.3">
      <c r="A93" t="s">
        <v>94</v>
      </c>
      <c r="B93">
        <v>7</v>
      </c>
      <c r="C93">
        <v>12</v>
      </c>
      <c r="D93">
        <v>5</v>
      </c>
      <c r="E93" s="2">
        <f t="shared" si="3"/>
        <v>0.41666666666666669</v>
      </c>
      <c r="F93" s="1">
        <f t="shared" si="4"/>
        <v>0.83333333333333348</v>
      </c>
      <c r="G93" t="str">
        <f t="shared" si="5"/>
        <v>Medium Risk</v>
      </c>
    </row>
    <row r="94" spans="1:7" x14ac:dyDescent="0.3">
      <c r="A94" t="s">
        <v>95</v>
      </c>
      <c r="B94">
        <v>9</v>
      </c>
      <c r="C94">
        <v>9</v>
      </c>
      <c r="D94">
        <v>2</v>
      </c>
      <c r="E94" s="2">
        <f t="shared" si="3"/>
        <v>0</v>
      </c>
      <c r="F94" s="1">
        <f t="shared" si="4"/>
        <v>0</v>
      </c>
      <c r="G94" t="str">
        <f t="shared" si="5"/>
        <v>Low Risk</v>
      </c>
    </row>
    <row r="95" spans="1:7" x14ac:dyDescent="0.3">
      <c r="A95" t="s">
        <v>96</v>
      </c>
      <c r="B95">
        <v>4</v>
      </c>
      <c r="C95">
        <v>13</v>
      </c>
      <c r="D95">
        <v>9</v>
      </c>
      <c r="E95" s="2">
        <f t="shared" si="3"/>
        <v>0.69230769230769229</v>
      </c>
      <c r="F95" s="1">
        <f t="shared" si="4"/>
        <v>0.76923076923076927</v>
      </c>
      <c r="G95" t="str">
        <f t="shared" si="5"/>
        <v>Medium Risk</v>
      </c>
    </row>
    <row r="96" spans="1:7" x14ac:dyDescent="0.3">
      <c r="A96" t="s">
        <v>97</v>
      </c>
      <c r="B96">
        <v>6</v>
      </c>
      <c r="C96">
        <v>10</v>
      </c>
      <c r="D96">
        <v>3</v>
      </c>
      <c r="E96" s="2">
        <f t="shared" si="3"/>
        <v>0.4</v>
      </c>
      <c r="F96" s="1">
        <f t="shared" si="4"/>
        <v>1.3333333333333333</v>
      </c>
      <c r="G96" t="str">
        <f t="shared" si="5"/>
        <v>High Risk</v>
      </c>
    </row>
    <row r="97" spans="1:7" x14ac:dyDescent="0.3">
      <c r="A97" t="s">
        <v>98</v>
      </c>
      <c r="B97">
        <v>5</v>
      </c>
      <c r="C97">
        <v>8</v>
      </c>
      <c r="D97">
        <v>1</v>
      </c>
      <c r="E97" s="2">
        <f t="shared" si="3"/>
        <v>0.375</v>
      </c>
      <c r="F97" s="1">
        <f t="shared" si="4"/>
        <v>3.75</v>
      </c>
      <c r="G97" t="str">
        <f t="shared" si="5"/>
        <v>High Risk</v>
      </c>
    </row>
    <row r="98" spans="1:7" x14ac:dyDescent="0.3">
      <c r="A98" t="s">
        <v>99</v>
      </c>
      <c r="B98">
        <v>8</v>
      </c>
      <c r="C98">
        <v>11</v>
      </c>
      <c r="D98">
        <v>4</v>
      </c>
      <c r="E98" s="2">
        <f t="shared" si="3"/>
        <v>0.27272727272727271</v>
      </c>
      <c r="F98" s="1">
        <f t="shared" si="4"/>
        <v>0.68181818181818177</v>
      </c>
      <c r="G98" t="str">
        <f t="shared" si="5"/>
        <v>Medium Risk</v>
      </c>
    </row>
    <row r="99" spans="1:7" x14ac:dyDescent="0.3">
      <c r="A99" t="s">
        <v>100</v>
      </c>
      <c r="B99">
        <v>3</v>
      </c>
      <c r="C99">
        <v>9</v>
      </c>
      <c r="D99">
        <v>6</v>
      </c>
      <c r="E99" s="2">
        <f t="shared" si="3"/>
        <v>0.66666666666666663</v>
      </c>
      <c r="F99" s="1">
        <f t="shared" si="4"/>
        <v>1.1111111111111112</v>
      </c>
      <c r="G99" t="str">
        <f t="shared" si="5"/>
        <v>High Risk</v>
      </c>
    </row>
    <row r="100" spans="1:7" x14ac:dyDescent="0.3">
      <c r="A100" t="s">
        <v>101</v>
      </c>
      <c r="B100">
        <v>7</v>
      </c>
      <c r="C100">
        <v>10</v>
      </c>
      <c r="D100">
        <v>2</v>
      </c>
      <c r="E100" s="2">
        <f t="shared" si="3"/>
        <v>0.3</v>
      </c>
      <c r="F100" s="1">
        <f t="shared" si="4"/>
        <v>1.5</v>
      </c>
      <c r="G100" t="str">
        <f t="shared" si="5"/>
        <v>High Risk</v>
      </c>
    </row>
    <row r="101" spans="1:7" x14ac:dyDescent="0.3">
      <c r="A101" t="s">
        <v>102</v>
      </c>
      <c r="B101">
        <v>9</v>
      </c>
      <c r="C101">
        <v>12</v>
      </c>
      <c r="D101">
        <v>5</v>
      </c>
      <c r="E101" s="2">
        <f t="shared" si="3"/>
        <v>0.25</v>
      </c>
      <c r="F101" s="1">
        <f t="shared" si="4"/>
        <v>0.5</v>
      </c>
      <c r="G101" t="str">
        <f t="shared" si="5"/>
        <v>Low Risk</v>
      </c>
    </row>
    <row r="102" spans="1:7" x14ac:dyDescent="0.3">
      <c r="A102" t="s">
        <v>103</v>
      </c>
      <c r="B102">
        <v>4</v>
      </c>
      <c r="C102">
        <v>8</v>
      </c>
      <c r="D102">
        <v>3</v>
      </c>
      <c r="E102" s="2">
        <f t="shared" si="3"/>
        <v>0.5</v>
      </c>
      <c r="F102" s="1">
        <f t="shared" si="4"/>
        <v>1.6666666666666665</v>
      </c>
      <c r="G102" t="str">
        <f t="shared" si="5"/>
        <v>High Risk</v>
      </c>
    </row>
    <row r="103" spans="1:7" x14ac:dyDescent="0.3">
      <c r="A103" t="s">
        <v>104</v>
      </c>
      <c r="B103">
        <v>6</v>
      </c>
      <c r="C103">
        <v>14</v>
      </c>
      <c r="D103">
        <v>10</v>
      </c>
      <c r="E103" s="2">
        <f t="shared" si="3"/>
        <v>0.5714285714285714</v>
      </c>
      <c r="F103" s="1">
        <f t="shared" si="4"/>
        <v>0.5714285714285714</v>
      </c>
      <c r="G103" t="str">
        <f t="shared" si="5"/>
        <v>Medium Risk</v>
      </c>
    </row>
    <row r="104" spans="1:7" x14ac:dyDescent="0.3">
      <c r="A104" t="s">
        <v>105</v>
      </c>
      <c r="B104">
        <v>5</v>
      </c>
      <c r="C104">
        <v>9</v>
      </c>
      <c r="D104">
        <v>2</v>
      </c>
      <c r="E104" s="2">
        <f t="shared" si="3"/>
        <v>0.44444444444444442</v>
      </c>
      <c r="F104" s="1">
        <f t="shared" si="4"/>
        <v>2.2222222222222223</v>
      </c>
      <c r="G104" t="str">
        <f t="shared" si="5"/>
        <v>High Risk</v>
      </c>
    </row>
    <row r="105" spans="1:7" x14ac:dyDescent="0.3">
      <c r="A105" t="s">
        <v>106</v>
      </c>
      <c r="B105">
        <v>8</v>
      </c>
      <c r="C105">
        <v>10</v>
      </c>
      <c r="D105">
        <v>4</v>
      </c>
      <c r="E105" s="2">
        <f t="shared" si="3"/>
        <v>0.2</v>
      </c>
      <c r="F105" s="1">
        <f t="shared" si="4"/>
        <v>0.5</v>
      </c>
      <c r="G105" t="str">
        <f t="shared" si="5"/>
        <v>Low Risk</v>
      </c>
    </row>
    <row r="106" spans="1:7" x14ac:dyDescent="0.3">
      <c r="A106" t="s">
        <v>107</v>
      </c>
      <c r="B106">
        <v>3</v>
      </c>
      <c r="C106">
        <v>7</v>
      </c>
      <c r="D106">
        <v>1</v>
      </c>
      <c r="E106" s="2">
        <f t="shared" si="3"/>
        <v>0.5714285714285714</v>
      </c>
      <c r="F106" s="1">
        <f t="shared" si="4"/>
        <v>5.7142857142857135</v>
      </c>
      <c r="G106" t="str">
        <f t="shared" si="5"/>
        <v>High Risk</v>
      </c>
    </row>
    <row r="107" spans="1:7" x14ac:dyDescent="0.3">
      <c r="A107" t="s">
        <v>108</v>
      </c>
      <c r="B107">
        <v>7</v>
      </c>
      <c r="C107">
        <v>11</v>
      </c>
      <c r="D107">
        <v>6</v>
      </c>
      <c r="E107" s="2">
        <f t="shared" si="3"/>
        <v>0.36363636363636365</v>
      </c>
      <c r="F107" s="1">
        <f t="shared" si="4"/>
        <v>0.60606060606060608</v>
      </c>
      <c r="G107" t="str">
        <f t="shared" si="5"/>
        <v>Medium Risk</v>
      </c>
    </row>
    <row r="108" spans="1:7" x14ac:dyDescent="0.3">
      <c r="A108" t="s">
        <v>109</v>
      </c>
      <c r="B108">
        <v>5</v>
      </c>
      <c r="C108">
        <v>9</v>
      </c>
      <c r="D108">
        <v>3</v>
      </c>
      <c r="E108" s="2">
        <f t="shared" si="3"/>
        <v>0.44444444444444442</v>
      </c>
      <c r="F108" s="1">
        <f t="shared" si="4"/>
        <v>1.4814814814814814</v>
      </c>
      <c r="G108" t="str">
        <f t="shared" si="5"/>
        <v>High Risk</v>
      </c>
    </row>
    <row r="109" spans="1:7" x14ac:dyDescent="0.3">
      <c r="A109" t="s">
        <v>110</v>
      </c>
      <c r="B109">
        <v>9</v>
      </c>
      <c r="C109">
        <v>10</v>
      </c>
      <c r="D109">
        <v>2</v>
      </c>
      <c r="E109" s="2">
        <f t="shared" si="3"/>
        <v>0.1</v>
      </c>
      <c r="F109" s="1">
        <f t="shared" si="4"/>
        <v>0.5</v>
      </c>
      <c r="G109" t="str">
        <f t="shared" si="5"/>
        <v>Low Risk</v>
      </c>
    </row>
    <row r="110" spans="1:7" x14ac:dyDescent="0.3">
      <c r="A110" t="s">
        <v>111</v>
      </c>
      <c r="B110">
        <v>4</v>
      </c>
      <c r="C110">
        <v>12</v>
      </c>
      <c r="D110">
        <v>8</v>
      </c>
      <c r="E110" s="2">
        <f t="shared" si="3"/>
        <v>0.66666666666666663</v>
      </c>
      <c r="F110" s="1">
        <f t="shared" si="4"/>
        <v>0.83333333333333326</v>
      </c>
      <c r="G110" t="str">
        <f t="shared" si="5"/>
        <v>Medium Risk</v>
      </c>
    </row>
    <row r="111" spans="1:7" x14ac:dyDescent="0.3">
      <c r="A111" t="s">
        <v>112</v>
      </c>
      <c r="B111">
        <v>6</v>
      </c>
      <c r="C111">
        <v>8</v>
      </c>
      <c r="D111">
        <v>1</v>
      </c>
      <c r="E111" s="2">
        <f t="shared" si="3"/>
        <v>0.25</v>
      </c>
      <c r="F111" s="1">
        <f t="shared" si="4"/>
        <v>2.5</v>
      </c>
      <c r="G111" t="str">
        <f t="shared" si="5"/>
        <v>High Risk</v>
      </c>
    </row>
    <row r="112" spans="1:7" x14ac:dyDescent="0.3">
      <c r="A112" t="s">
        <v>113</v>
      </c>
      <c r="B112">
        <v>8</v>
      </c>
      <c r="C112">
        <v>9</v>
      </c>
      <c r="D112">
        <v>4</v>
      </c>
      <c r="E112" s="2">
        <f t="shared" si="3"/>
        <v>0.1111111111111111</v>
      </c>
      <c r="F112" s="1">
        <f t="shared" si="4"/>
        <v>0.27777777777777779</v>
      </c>
      <c r="G112" t="str">
        <f t="shared" si="5"/>
        <v>Low Risk</v>
      </c>
    </row>
    <row r="113" spans="1:7" x14ac:dyDescent="0.3">
      <c r="A113" t="s">
        <v>114</v>
      </c>
      <c r="B113">
        <v>3</v>
      </c>
      <c r="C113">
        <v>10</v>
      </c>
      <c r="D113">
        <v>7</v>
      </c>
      <c r="E113" s="2">
        <f t="shared" si="3"/>
        <v>0.7</v>
      </c>
      <c r="F113" s="1">
        <f t="shared" si="4"/>
        <v>0.99999999999999989</v>
      </c>
      <c r="G113" t="str">
        <f t="shared" si="5"/>
        <v>Medium Risk</v>
      </c>
    </row>
    <row r="114" spans="1:7" x14ac:dyDescent="0.3">
      <c r="A114" t="s">
        <v>115</v>
      </c>
      <c r="B114">
        <v>7</v>
      </c>
      <c r="C114">
        <v>8</v>
      </c>
      <c r="D114">
        <v>2</v>
      </c>
      <c r="E114" s="2">
        <f t="shared" si="3"/>
        <v>0.125</v>
      </c>
      <c r="F114" s="1">
        <f t="shared" si="4"/>
        <v>0.625</v>
      </c>
      <c r="G114" t="str">
        <f t="shared" si="5"/>
        <v>Medium Risk</v>
      </c>
    </row>
    <row r="115" spans="1:7" x14ac:dyDescent="0.3">
      <c r="A115" t="s">
        <v>116</v>
      </c>
      <c r="B115">
        <v>5</v>
      </c>
      <c r="C115">
        <v>13</v>
      </c>
      <c r="D115">
        <v>9</v>
      </c>
      <c r="E115" s="2">
        <f t="shared" si="3"/>
        <v>0.61538461538461542</v>
      </c>
      <c r="F115" s="1">
        <f t="shared" si="4"/>
        <v>0.68376068376068377</v>
      </c>
      <c r="G115" t="str">
        <f t="shared" si="5"/>
        <v>Medium Risk</v>
      </c>
    </row>
    <row r="116" spans="1:7" x14ac:dyDescent="0.3">
      <c r="A116" t="s">
        <v>117</v>
      </c>
      <c r="B116">
        <v>9</v>
      </c>
      <c r="C116">
        <v>9</v>
      </c>
      <c r="D116">
        <v>1</v>
      </c>
      <c r="E116" s="2">
        <f t="shared" si="3"/>
        <v>0</v>
      </c>
      <c r="F116" s="1">
        <f t="shared" si="4"/>
        <v>0</v>
      </c>
      <c r="G116" t="str">
        <f t="shared" si="5"/>
        <v>Low Risk</v>
      </c>
    </row>
    <row r="117" spans="1:7" x14ac:dyDescent="0.3">
      <c r="A117" t="s">
        <v>118</v>
      </c>
      <c r="B117">
        <v>4</v>
      </c>
      <c r="C117">
        <v>11</v>
      </c>
      <c r="D117">
        <v>5</v>
      </c>
      <c r="E117" s="2">
        <f t="shared" si="3"/>
        <v>0.63636363636363635</v>
      </c>
      <c r="F117" s="1">
        <f t="shared" si="4"/>
        <v>1.2727272727272725</v>
      </c>
      <c r="G117" t="str">
        <f t="shared" si="5"/>
        <v>High Risk</v>
      </c>
    </row>
    <row r="118" spans="1:7" x14ac:dyDescent="0.3">
      <c r="A118" t="s">
        <v>119</v>
      </c>
      <c r="B118">
        <v>6</v>
      </c>
      <c r="C118">
        <v>10</v>
      </c>
      <c r="D118">
        <v>3</v>
      </c>
      <c r="E118" s="2">
        <f t="shared" si="3"/>
        <v>0.4</v>
      </c>
      <c r="F118" s="1">
        <f t="shared" si="4"/>
        <v>1.3333333333333333</v>
      </c>
      <c r="G118" t="str">
        <f t="shared" si="5"/>
        <v>High Risk</v>
      </c>
    </row>
    <row r="119" spans="1:7" x14ac:dyDescent="0.3">
      <c r="A119" t="s">
        <v>120</v>
      </c>
      <c r="B119">
        <v>8</v>
      </c>
      <c r="C119">
        <v>12</v>
      </c>
      <c r="D119">
        <v>6</v>
      </c>
      <c r="E119" s="2">
        <f t="shared" si="3"/>
        <v>0.33333333333333331</v>
      </c>
      <c r="F119" s="1">
        <f t="shared" si="4"/>
        <v>0.55555555555555558</v>
      </c>
      <c r="G119" t="str">
        <f t="shared" si="5"/>
        <v>Medium Risk</v>
      </c>
    </row>
    <row r="120" spans="1:7" x14ac:dyDescent="0.3">
      <c r="A120" t="s">
        <v>121</v>
      </c>
      <c r="B120">
        <v>3</v>
      </c>
      <c r="C120">
        <v>9</v>
      </c>
      <c r="D120">
        <v>2</v>
      </c>
      <c r="E120" s="2">
        <f t="shared" si="3"/>
        <v>0.66666666666666663</v>
      </c>
      <c r="F120" s="1">
        <f t="shared" si="4"/>
        <v>3.333333333333333</v>
      </c>
      <c r="G120" t="str">
        <f t="shared" si="5"/>
        <v>High Risk</v>
      </c>
    </row>
    <row r="121" spans="1:7" x14ac:dyDescent="0.3">
      <c r="A121" t="s">
        <v>122</v>
      </c>
      <c r="B121">
        <v>7</v>
      </c>
      <c r="C121">
        <v>10</v>
      </c>
      <c r="D121">
        <v>4</v>
      </c>
      <c r="E121" s="2">
        <f t="shared" si="3"/>
        <v>0.3</v>
      </c>
      <c r="F121" s="1">
        <f t="shared" si="4"/>
        <v>0.75</v>
      </c>
      <c r="G121" t="str">
        <f t="shared" si="5"/>
        <v>Medium Risk</v>
      </c>
    </row>
    <row r="122" spans="1:7" x14ac:dyDescent="0.3">
      <c r="A122" t="s">
        <v>123</v>
      </c>
      <c r="B122">
        <v>5</v>
      </c>
      <c r="C122">
        <v>8</v>
      </c>
      <c r="D122">
        <v>1</v>
      </c>
      <c r="E122" s="2">
        <f t="shared" si="3"/>
        <v>0.375</v>
      </c>
      <c r="F122" s="1">
        <f t="shared" si="4"/>
        <v>3.75</v>
      </c>
      <c r="G122" t="str">
        <f t="shared" si="5"/>
        <v>High Risk</v>
      </c>
    </row>
    <row r="123" spans="1:7" x14ac:dyDescent="0.3">
      <c r="A123" t="s">
        <v>124</v>
      </c>
      <c r="B123">
        <v>9</v>
      </c>
      <c r="C123">
        <v>14</v>
      </c>
      <c r="D123">
        <v>8</v>
      </c>
      <c r="E123" s="2">
        <f t="shared" si="3"/>
        <v>0.35714285714285715</v>
      </c>
      <c r="F123" s="1">
        <f t="shared" si="4"/>
        <v>0.44642857142857145</v>
      </c>
      <c r="G123" t="str">
        <f t="shared" si="5"/>
        <v>Low Risk</v>
      </c>
    </row>
    <row r="124" spans="1:7" x14ac:dyDescent="0.3">
      <c r="A124" t="s">
        <v>125</v>
      </c>
      <c r="B124">
        <v>4</v>
      </c>
      <c r="C124">
        <v>9</v>
      </c>
      <c r="D124">
        <v>3</v>
      </c>
      <c r="E124" s="2">
        <f t="shared" si="3"/>
        <v>0.55555555555555558</v>
      </c>
      <c r="F124" s="1">
        <f t="shared" si="4"/>
        <v>1.8518518518518521</v>
      </c>
      <c r="G124" t="str">
        <f t="shared" si="5"/>
        <v>High Risk</v>
      </c>
    </row>
    <row r="125" spans="1:7" x14ac:dyDescent="0.3">
      <c r="A125" t="s">
        <v>126</v>
      </c>
      <c r="B125">
        <v>6</v>
      </c>
      <c r="C125">
        <v>11</v>
      </c>
      <c r="D125">
        <v>5</v>
      </c>
      <c r="E125" s="2">
        <f t="shared" si="3"/>
        <v>0.45454545454545453</v>
      </c>
      <c r="F125" s="1">
        <f t="shared" si="4"/>
        <v>0.90909090909090917</v>
      </c>
      <c r="G125" t="str">
        <f t="shared" si="5"/>
        <v>Medium Risk</v>
      </c>
    </row>
    <row r="126" spans="1:7" x14ac:dyDescent="0.3">
      <c r="A126" t="s">
        <v>127</v>
      </c>
      <c r="B126">
        <v>8</v>
      </c>
      <c r="C126">
        <v>10</v>
      </c>
      <c r="D126">
        <v>2</v>
      </c>
      <c r="E126" s="2">
        <f t="shared" si="3"/>
        <v>0.2</v>
      </c>
      <c r="F126" s="1">
        <f t="shared" si="4"/>
        <v>1</v>
      </c>
      <c r="G126" t="str">
        <f t="shared" si="5"/>
        <v>Medium Risk</v>
      </c>
    </row>
    <row r="127" spans="1:7" x14ac:dyDescent="0.3">
      <c r="A127" t="s">
        <v>128</v>
      </c>
      <c r="B127">
        <v>3</v>
      </c>
      <c r="C127">
        <v>9</v>
      </c>
      <c r="D127">
        <v>6</v>
      </c>
      <c r="E127" s="2">
        <f t="shared" si="3"/>
        <v>0.66666666666666663</v>
      </c>
      <c r="F127" s="1">
        <f t="shared" si="4"/>
        <v>1.1111111111111112</v>
      </c>
      <c r="G127" t="str">
        <f t="shared" si="5"/>
        <v>High Risk</v>
      </c>
    </row>
    <row r="128" spans="1:7" x14ac:dyDescent="0.3">
      <c r="A128" t="s">
        <v>129</v>
      </c>
      <c r="B128">
        <v>7</v>
      </c>
      <c r="C128">
        <v>12</v>
      </c>
      <c r="D128">
        <v>4</v>
      </c>
      <c r="E128" s="2">
        <f t="shared" si="3"/>
        <v>0.41666666666666669</v>
      </c>
      <c r="F128" s="1">
        <f t="shared" si="4"/>
        <v>1.0416666666666667</v>
      </c>
      <c r="G128" t="str">
        <f t="shared" si="5"/>
        <v>High Risk</v>
      </c>
    </row>
    <row r="129" spans="1:7" x14ac:dyDescent="0.3">
      <c r="A129" t="s">
        <v>130</v>
      </c>
      <c r="B129">
        <v>5</v>
      </c>
      <c r="C129">
        <v>8</v>
      </c>
      <c r="D129">
        <v>1</v>
      </c>
      <c r="E129" s="2">
        <f t="shared" si="3"/>
        <v>0.375</v>
      </c>
      <c r="F129" s="1">
        <f t="shared" si="4"/>
        <v>3.75</v>
      </c>
      <c r="G129" t="str">
        <f t="shared" si="5"/>
        <v>High Risk</v>
      </c>
    </row>
    <row r="130" spans="1:7" x14ac:dyDescent="0.3">
      <c r="A130" t="s">
        <v>131</v>
      </c>
      <c r="B130">
        <v>9</v>
      </c>
      <c r="C130">
        <v>13</v>
      </c>
      <c r="D130">
        <v>7</v>
      </c>
      <c r="E130" s="2">
        <f t="shared" si="3"/>
        <v>0.30769230769230771</v>
      </c>
      <c r="F130" s="1">
        <f t="shared" si="4"/>
        <v>0.43956043956043961</v>
      </c>
      <c r="G130" t="str">
        <f t="shared" si="5"/>
        <v>Low Risk</v>
      </c>
    </row>
    <row r="131" spans="1:7" x14ac:dyDescent="0.3">
      <c r="A131" t="s">
        <v>132</v>
      </c>
      <c r="B131">
        <v>6</v>
      </c>
      <c r="C131">
        <v>9</v>
      </c>
      <c r="D131">
        <v>2</v>
      </c>
      <c r="E131" s="2">
        <f t="shared" si="3"/>
        <v>0.33333333333333331</v>
      </c>
      <c r="F131" s="1">
        <f t="shared" si="4"/>
        <v>1.6666666666666665</v>
      </c>
      <c r="G131" t="str">
        <f t="shared" si="5"/>
        <v>High Risk</v>
      </c>
    </row>
  </sheetData>
  <mergeCells count="1">
    <mergeCell ref="A1:G1"/>
  </mergeCells>
  <conditionalFormatting sqref="G8:G131">
    <cfRule type="containsText" dxfId="9" priority="5" operator="containsText" text="HIgh Risk">
      <formula>NOT(ISERROR(SEARCH("HIgh Risk",G8)))</formula>
    </cfRule>
    <cfRule type="containsText" dxfId="8" priority="6" operator="containsText" text="Low Risk">
      <formula>NOT(ISERROR(SEARCH("Low Risk",G8)))</formula>
    </cfRule>
    <cfRule type="containsText" dxfId="7" priority="7" operator="containsText" text="Medium Risk">
      <formula>NOT(ISERROR(SEARCH("Medium Risk",G8)))</formula>
    </cfRule>
    <cfRule type="containsText" dxfId="6" priority="8" operator="containsText" text="High Risk">
      <formula>NOT(ISERROR(SEARCH("High Risk",G8)))</formula>
    </cfRule>
  </conditionalFormatting>
  <conditionalFormatting sqref="G7">
    <cfRule type="containsText" dxfId="5" priority="1" operator="containsText" text="HIgh Risk">
      <formula>NOT(ISERROR(SEARCH("HIgh Risk",G7)))</formula>
    </cfRule>
    <cfRule type="containsText" dxfId="4" priority="2" operator="containsText" text="Low Risk">
      <formula>NOT(ISERROR(SEARCH("Low Risk",G7)))</formula>
    </cfRule>
    <cfRule type="containsText" dxfId="3" priority="3" operator="containsText" text="Medium Risk">
      <formula>NOT(ISERROR(SEARCH("Medium Risk",G7)))</formula>
    </cfRule>
    <cfRule type="containsText" dxfId="2" priority="4" operator="containsText" text="High Risk">
      <formula>NOT(ISERROR(SEARCH("High Risk",G7)))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Deadline Risk Predictor</vt:lpstr>
    </vt:vector>
  </TitlesOfParts>
  <Company>VINTAGE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Vintage Systems</dc:creator>
  <cp:lastModifiedBy>Vintage Systems</cp:lastModifiedBy>
  <dcterms:created xsi:type="dcterms:W3CDTF">2026-06-22T20:44:55Z</dcterms:created>
  <dcterms:modified xsi:type="dcterms:W3CDTF">2026-06-22T22:56:31Z</dcterms:modified>
</cp:coreProperties>
</file>